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TY-58767ST522" sheetId="1" state="visible" r:id="rId3"/>
    <sheet name="CTY-58768ST52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Reservations</author>
  </authors>
  <commentList>
    <comment ref="L8" authorId="0">
      <text>
        <r>
          <rPr>
            <sz val="10"/>
            <rFont val="Arial"/>
            <family val="2"/>
          </rPr>
          <t xml:space="preserve">Shows the current week (Monday). Type any date here to look at another week; type =TODAY()-WEEKDAY(TODAY(),3) to go back to this week.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Reservations</author>
  </authors>
  <commentList>
    <comment ref="L8" authorId="0">
      <text>
        <r>
          <rPr>
            <sz val="10"/>
            <rFont val="Arial"/>
            <family val="2"/>
          </rPr>
          <t xml:space="preserve">Shows the current week (Monday). Type any date here to look at another week; type =TODAY()-WEEKDAY(TODAY(),3) to go back to this week.</t>
        </r>
      </text>
    </comment>
  </commentList>
</comments>
</file>

<file path=xl/sharedStrings.xml><?xml version="1.0" encoding="utf-8"?>
<sst xmlns="http://schemas.openxmlformats.org/spreadsheetml/2006/main" count="52" uniqueCount="28">
  <si>
    <t xml:space="preserve">CTY-58767ST522</t>
  </si>
  <si>
    <t xml:space="preserve">Workstation 1 (RTX 5080)  ·  reservations for remote use  ·  all times US Eastern</t>
  </si>
  <si>
    <t xml:space="preserve">1. Book BEFORE you log in: add one row with your name, the date, and the start and end time (for example 3:00 PM).</t>
  </si>
  <si>
    <t xml:space="preserve">2. Status says CONFLICT if your time overlaps someone else's on this PC. Pick another time.</t>
  </si>
  <si>
    <t xml:space="preserve">3. Running past midnight? Use two rows (… to 11:59 PM, then 12:00 AM to …). Delete your row if your plans change.</t>
  </si>
  <si>
    <t xml:space="preserve">4. Only edit the yellow cells. Grey cells and the week view on the right fill in by themselves.</t>
  </si>
  <si>
    <t xml:space="preserve">Week view (fills in automatically)</t>
  </si>
  <si>
    <t xml:space="preserve">Member</t>
  </si>
  <si>
    <t xml:space="preserve">Date</t>
  </si>
  <si>
    <t xml:space="preserve">Day</t>
  </si>
  <si>
    <t xml:space="preserve">Start</t>
  </si>
  <si>
    <t xml:space="preserve">End</t>
  </si>
  <si>
    <t xml:space="preserve">Hours</t>
  </si>
  <si>
    <t xml:space="preserve">What it's for</t>
  </si>
  <si>
    <t xml:space="preserve">Status</t>
  </si>
  <si>
    <t xml:space="preserve">Week of</t>
  </si>
  <si>
    <t xml:space="preserve">← type a date to see another week</t>
  </si>
  <si>
    <t xml:space="preserve">Mario Ortiz</t>
  </si>
  <si>
    <t xml:space="preserve">EXAMPLE row: overwrite or delete it</t>
  </si>
  <si>
    <t xml:space="preserve">Time</t>
  </si>
  <si>
    <t xml:space="preserve">Members</t>
  </si>
  <si>
    <t xml:space="preserve">← the Member dropdown uses this list</t>
  </si>
  <si>
    <t xml:space="preserve">Shaoqin Li</t>
  </si>
  <si>
    <t xml:space="preserve">Cesar Pascal Vasquez</t>
  </si>
  <si>
    <t xml:space="preserve">Chu Lin</t>
  </si>
  <si>
    <t xml:space="preserve">CONFLICT</t>
  </si>
  <si>
    <t xml:space="preserve">CTY-58768ST522</t>
  </si>
  <si>
    <t xml:space="preserve">Workstation 2  ·  reservations for remote use  ·  all times US Eastern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</si>
</sst>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\ m/d/yyyy"/>
    <numFmt numFmtId="166" formatCode="m/d/yyyy"/>
    <numFmt numFmtId="167" formatCode="h:mm\ AM/PM"/>
    <numFmt numFmtId="168" formatCode="0.0"/>
    <numFmt numFmtId="169" formatCode="ddd\ m/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3E57"/>
        <bgColor rgb="FF404040"/>
      </patternFill>
    </fill>
    <fill>
      <patternFill patternType="solid">
        <fgColor rgb="FFFFF9DB"/>
        <bgColor rgb="FFF2F2F2"/>
      </patternFill>
    </fill>
    <fill>
      <patternFill patternType="solid">
        <fgColor rgb="FFF2F2F2"/>
        <bgColor rgb="FFFFF9DB"/>
      </patternFill>
    </fill>
    <fill>
      <patternFill patternType="solid">
        <fgColor rgb="FFD6E6F7"/>
        <bgColor rgb="FFE9DEF4"/>
      </patternFill>
    </fill>
    <fill>
      <patternFill patternType="solid">
        <fgColor rgb="FFDDEFD9"/>
        <bgColor rgb="FFD6E6F7"/>
      </patternFill>
    </fill>
    <fill>
      <patternFill patternType="solid">
        <fgColor rgb="FFFBE3D0"/>
        <bgColor rgb="FFFBE3C0"/>
      </patternFill>
    </fill>
    <fill>
      <patternFill patternType="solid">
        <fgColor rgb="FFE9DEF4"/>
        <bgColor rgb="FFD6E6F7"/>
      </patternFill>
    </fill>
    <fill>
      <patternFill patternType="solid">
        <fgColor rgb="FFF4B6B6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6E6F7"/>
        </patternFill>
      </fill>
    </dxf>
    <dxf>
      <fill>
        <patternFill>
          <bgColor rgb="FFDDEFD9"/>
        </patternFill>
      </fill>
    </dxf>
    <dxf>
      <fill>
        <patternFill>
          <bgColor rgb="FFFBE3D0"/>
        </patternFill>
      </fill>
    </dxf>
    <dxf>
      <fill>
        <patternFill>
          <bgColor rgb="FFE9DEF4"/>
        </patternFill>
      </fill>
    </dxf>
    <dxf>
      <font>
        <name val="Arial"/>
        <charset val="1"/>
        <family val="0"/>
        <b val="1"/>
      </font>
      <fill>
        <patternFill>
          <bgColor rgb="FFF4B6B6"/>
        </patternFill>
      </fill>
    </dxf>
    <dxf>
      <fill>
        <patternFill>
          <bgColor rgb="FFFBE3C0"/>
        </patternFill>
      </fill>
    </dxf>
    <dxf>
      <font>
        <name val="Arial"/>
        <charset val="1"/>
        <family val="0"/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D6E6F7"/>
      <rgbColor rgb="FF660066"/>
      <rgbColor rgb="FFFF8080"/>
      <rgbColor rgb="FF0066CC"/>
      <rgbColor rgb="FFE9DE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EFD9"/>
      <rgbColor rgb="FFFBE3C0"/>
      <rgbColor rgb="FF99CCFF"/>
      <rgbColor rgb="FFFBE3D0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2F3E5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15"/>
    <col collapsed="false" customWidth="true" hidden="false" outlineLevel="0" max="10" min="9" style="0" width="3"/>
    <col collapsed="false" customWidth="true" hidden="false" outlineLevel="0" max="11" min="11" style="0" width="21"/>
    <col collapsed="false" customWidth="true" hidden="false" outlineLevel="0" max="18" min="12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K7" s="4" t="s">
        <v>6</v>
      </c>
    </row>
    <row r="8" customFormat="false" ht="15" hidden="false" customHeight="false" outlineLevel="0" collapsed="false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K8" s="6" t="s">
        <v>15</v>
      </c>
      <c r="L8" s="7" t="n">
        <f aca="true">TODAY()-WEEKDAY(TODAY(),3)</f>
        <v>46307</v>
      </c>
      <c r="M8" s="8" t="s">
        <v>16</v>
      </c>
    </row>
    <row r="9" customFormat="false" ht="15" hidden="false" customHeight="false" outlineLevel="0" collapsed="false">
      <c r="A9" s="9" t="s">
        <v>17</v>
      </c>
      <c r="B9" s="10" t="n">
        <v>46316</v>
      </c>
      <c r="C9" s="11" t="str">
        <f aca="false">IF(B9="","",CHOOSE(WEEKDAY(B9),"Sun","Mon","Tue","Wed","Thu","Fri","Sat"))</f>
        <v>Wed</v>
      </c>
      <c r="D9" s="12" t="n">
        <v>0.625</v>
      </c>
      <c r="E9" s="12" t="n">
        <v>0.75</v>
      </c>
      <c r="F9" s="13" t="n">
        <f aca="false">IF(OR(D9="",E9=""),"",IF(E9&gt;D9,(E9-D9)*24,""))</f>
        <v>3</v>
      </c>
      <c r="G9" s="14" t="s">
        <v>18</v>
      </c>
      <c r="H9" s="11" t="str">
        <f aca="false">IF(OR(A9="",B9="",D9="",E9=""),"",IF(E9&lt;=D9,"End before start",IF(COUNTIFS($B$9:$B$208,B9,$D$9:$D$208,"&lt;"&amp;(E9-1/1440),$E$9:$E$208,"&gt;"&amp;(D9+1/1440))&gt;1,"CONFLICT","OK")))</f>
        <v>OK</v>
      </c>
      <c r="K9" s="15" t="s">
        <v>19</v>
      </c>
      <c r="L9" s="16" t="n">
        <f aca="false">$L$8+0</f>
        <v>46307</v>
      </c>
      <c r="M9" s="16" t="n">
        <f aca="false">$L$8+1</f>
        <v>46308</v>
      </c>
      <c r="N9" s="16" t="n">
        <f aca="false">$L$8+2</f>
        <v>46309</v>
      </c>
      <c r="O9" s="16" t="n">
        <f aca="false">$L$8+3</f>
        <v>46310</v>
      </c>
      <c r="P9" s="16" t="n">
        <f aca="false">$L$8+4</f>
        <v>46311</v>
      </c>
      <c r="Q9" s="16" t="n">
        <f aca="false">$L$8+5</f>
        <v>46312</v>
      </c>
      <c r="R9" s="16" t="n">
        <f aca="false">$L$8+6</f>
        <v>46313</v>
      </c>
    </row>
    <row r="10" customFormat="false" ht="15" hidden="false" customHeight="false" outlineLevel="0" collapsed="false">
      <c r="A10" s="9"/>
      <c r="B10" s="10"/>
      <c r="C10" s="11" t="str">
        <f aca="false">IF(B10="","",CHOOSE(WEEKDAY(B10),"Sun","Mon","Tue","Wed","Thu","Fri","Sat"))</f>
        <v/>
      </c>
      <c r="D10" s="12"/>
      <c r="E10" s="12"/>
      <c r="F10" s="13" t="str">
        <f aca="false">IF(OR(D10="",E10=""),"",IF(E10&gt;D10,(E10-D10)*24,""))</f>
        <v/>
      </c>
      <c r="G10" s="9"/>
      <c r="H10" s="11" t="str">
        <f aca="false">IF(OR(A10="",B10="",D10="",E10=""),"",IF(E10&lt;=D10,"End before start",IF(COUNTIFS($B$9:$B$208,B10,$D$9:$D$208,"&lt;"&amp;(E10-1/1440),$E$9:$E$208,"&gt;"&amp;(D10+1/1440))&gt;1,"CONFLICT","OK")))</f>
        <v/>
      </c>
      <c r="K10" s="17" t="n">
        <v>0.291666666666667</v>
      </c>
      <c r="L10" s="18" t="str">
        <f aca="false">IF(COUNTIFS($B$9:$B$208,L$9,$D$9:$D$208,"&lt;"&amp;($K10+1/24-1/1440),$E$9:$E$208,"&gt;"&amp;($K10+1/1440))=0,"",IF(COUNTIFS($B$9:$B$208,L$9,$D$9:$D$208,"&lt;"&amp;($K10+1/24-1/1440),$E$9:$E$208,"&gt;"&amp;($K10+1/1440))&gt;1,"CONFLICT",INDEX($A$9:$A$208,SUMPRODUCT(MAX(($B$9:$B$208=L$9)*($D$9:$D$208&lt;$K10+1/24-1/1440)*($E$9:$E$208&gt;$K10+1/1440)*(ROW($B$9:$B$208)-8))))))</f>
        <v/>
      </c>
      <c r="M10" s="18" t="str">
        <f aca="false">IF(COUNTIFS($B$9:$B$208,M$9,$D$9:$D$208,"&lt;"&amp;($K10+1/24-1/1440),$E$9:$E$208,"&gt;"&amp;($K10+1/1440))=0,"",IF(COUNTIFS($B$9:$B$208,M$9,$D$9:$D$208,"&lt;"&amp;($K10+1/24-1/1440),$E$9:$E$208,"&gt;"&amp;($K10+1/1440))&gt;1,"CONFLICT",INDEX($A$9:$A$208,SUMPRODUCT(MAX(($B$9:$B$208=M$9)*($D$9:$D$208&lt;$K10+1/24-1/1440)*($E$9:$E$208&gt;$K10+1/1440)*(ROW($B$9:$B$208)-8))))))</f>
        <v/>
      </c>
      <c r="N10" s="18" t="str">
        <f aca="false">IF(COUNTIFS($B$9:$B$208,N$9,$D$9:$D$208,"&lt;"&amp;($K10+1/24-1/1440),$E$9:$E$208,"&gt;"&amp;($K10+1/1440))=0,"",IF(COUNTIFS($B$9:$B$208,N$9,$D$9:$D$208,"&lt;"&amp;($K10+1/24-1/1440),$E$9:$E$208,"&gt;"&amp;($K10+1/1440))&gt;1,"CONFLICT",INDEX($A$9:$A$208,SUMPRODUCT(MAX(($B$9:$B$208=N$9)*($D$9:$D$208&lt;$K10+1/24-1/1440)*($E$9:$E$208&gt;$K10+1/1440)*(ROW($B$9:$B$208)-8))))))</f>
        <v/>
      </c>
      <c r="O10" s="18" t="str">
        <f aca="false">IF(COUNTIFS($B$9:$B$208,O$9,$D$9:$D$208,"&lt;"&amp;($K10+1/24-1/1440),$E$9:$E$208,"&gt;"&amp;($K10+1/1440))=0,"",IF(COUNTIFS($B$9:$B$208,O$9,$D$9:$D$208,"&lt;"&amp;($K10+1/24-1/1440),$E$9:$E$208,"&gt;"&amp;($K10+1/1440))&gt;1,"CONFLICT",INDEX($A$9:$A$208,SUMPRODUCT(MAX(($B$9:$B$208=O$9)*($D$9:$D$208&lt;$K10+1/24-1/1440)*($E$9:$E$208&gt;$K10+1/1440)*(ROW($B$9:$B$208)-8))))))</f>
        <v/>
      </c>
      <c r="P10" s="18" t="str">
        <f aca="false">IF(COUNTIFS($B$9:$B$208,P$9,$D$9:$D$208,"&lt;"&amp;($K10+1/24-1/1440),$E$9:$E$208,"&gt;"&amp;($K10+1/1440))=0,"",IF(COUNTIFS($B$9:$B$208,P$9,$D$9:$D$208,"&lt;"&amp;($K10+1/24-1/1440),$E$9:$E$208,"&gt;"&amp;($K10+1/1440))&gt;1,"CONFLICT",INDEX($A$9:$A$208,SUMPRODUCT(MAX(($B$9:$B$208=P$9)*($D$9:$D$208&lt;$K10+1/24-1/1440)*($E$9:$E$208&gt;$K10+1/1440)*(ROW($B$9:$B$208)-8))))))</f>
        <v/>
      </c>
      <c r="Q10" s="18" t="str">
        <f aca="false">IF(COUNTIFS($B$9:$B$208,Q$9,$D$9:$D$208,"&lt;"&amp;($K10+1/24-1/1440),$E$9:$E$208,"&gt;"&amp;($K10+1/1440))=0,"",IF(COUNTIFS($B$9:$B$208,Q$9,$D$9:$D$208,"&lt;"&amp;($K10+1/24-1/1440),$E$9:$E$208,"&gt;"&amp;($K10+1/1440))&gt;1,"CONFLICT",INDEX($A$9:$A$208,SUMPRODUCT(MAX(($B$9:$B$208=Q$9)*($D$9:$D$208&lt;$K10+1/24-1/1440)*($E$9:$E$208&gt;$K10+1/1440)*(ROW($B$9:$B$208)-8))))))</f>
        <v/>
      </c>
      <c r="R10" s="18" t="str">
        <f aca="false">IF(COUNTIFS($B$9:$B$208,R$9,$D$9:$D$208,"&lt;"&amp;($K10+1/24-1/1440),$E$9:$E$208,"&gt;"&amp;($K10+1/1440))=0,"",IF(COUNTIFS($B$9:$B$208,R$9,$D$9:$D$208,"&lt;"&amp;($K10+1/24-1/1440),$E$9:$E$208,"&gt;"&amp;($K10+1/1440))&gt;1,"CONFLICT",INDEX($A$9:$A$208,SUMPRODUCT(MAX(($B$9:$B$208=R$9)*($D$9:$D$208&lt;$K10+1/24-1/1440)*($E$9:$E$208&gt;$K10+1/1440)*(ROW($B$9:$B$208)-8))))))</f>
        <v/>
      </c>
    </row>
    <row r="11" customFormat="false" ht="15" hidden="false" customHeight="false" outlineLevel="0" collapsed="false">
      <c r="A11" s="9"/>
      <c r="B11" s="10"/>
      <c r="C11" s="11" t="str">
        <f aca="false">IF(B11="","",CHOOSE(WEEKDAY(B11),"Sun","Mon","Tue","Wed","Thu","Fri","Sat"))</f>
        <v/>
      </c>
      <c r="D11" s="12"/>
      <c r="E11" s="12"/>
      <c r="F11" s="13" t="str">
        <f aca="false">IF(OR(D11="",E11=""),"",IF(E11&gt;D11,(E11-D11)*24,""))</f>
        <v/>
      </c>
      <c r="G11" s="9"/>
      <c r="H11" s="11" t="str">
        <f aca="false">IF(OR(A11="",B11="",D11="",E11=""),"",IF(E11&lt;=D11,"End before start",IF(COUNTIFS($B$9:$B$208,B11,$D$9:$D$208,"&lt;"&amp;(E11-1/1440),$E$9:$E$208,"&gt;"&amp;(D11+1/1440))&gt;1,"CONFLICT","OK")))</f>
        <v/>
      </c>
      <c r="K11" s="17" t="n">
        <v>0.333333333333333</v>
      </c>
      <c r="L11" s="18" t="str">
        <f aca="false">IF(COUNTIFS($B$9:$B$208,L$9,$D$9:$D$208,"&lt;"&amp;($K11+1/24-1/1440),$E$9:$E$208,"&gt;"&amp;($K11+1/1440))=0,"",IF(COUNTIFS($B$9:$B$208,L$9,$D$9:$D$208,"&lt;"&amp;($K11+1/24-1/1440),$E$9:$E$208,"&gt;"&amp;($K11+1/1440))&gt;1,"CONFLICT",INDEX($A$9:$A$208,SUMPRODUCT(MAX(($B$9:$B$208=L$9)*($D$9:$D$208&lt;$K11+1/24-1/1440)*($E$9:$E$208&gt;$K11+1/1440)*(ROW($B$9:$B$208)-8))))))</f>
        <v/>
      </c>
      <c r="M11" s="18" t="str">
        <f aca="false">IF(COUNTIFS($B$9:$B$208,M$9,$D$9:$D$208,"&lt;"&amp;($K11+1/24-1/1440),$E$9:$E$208,"&gt;"&amp;($K11+1/1440))=0,"",IF(COUNTIFS($B$9:$B$208,M$9,$D$9:$D$208,"&lt;"&amp;($K11+1/24-1/1440),$E$9:$E$208,"&gt;"&amp;($K11+1/1440))&gt;1,"CONFLICT",INDEX($A$9:$A$208,SUMPRODUCT(MAX(($B$9:$B$208=M$9)*($D$9:$D$208&lt;$K11+1/24-1/1440)*($E$9:$E$208&gt;$K11+1/1440)*(ROW($B$9:$B$208)-8))))))</f>
        <v/>
      </c>
      <c r="N11" s="18" t="str">
        <f aca="false">IF(COUNTIFS($B$9:$B$208,N$9,$D$9:$D$208,"&lt;"&amp;($K11+1/24-1/1440),$E$9:$E$208,"&gt;"&amp;($K11+1/1440))=0,"",IF(COUNTIFS($B$9:$B$208,N$9,$D$9:$D$208,"&lt;"&amp;($K11+1/24-1/1440),$E$9:$E$208,"&gt;"&amp;($K11+1/1440))&gt;1,"CONFLICT",INDEX($A$9:$A$208,SUMPRODUCT(MAX(($B$9:$B$208=N$9)*($D$9:$D$208&lt;$K11+1/24-1/1440)*($E$9:$E$208&gt;$K11+1/1440)*(ROW($B$9:$B$208)-8))))))</f>
        <v/>
      </c>
      <c r="O11" s="18" t="str">
        <f aca="false">IF(COUNTIFS($B$9:$B$208,O$9,$D$9:$D$208,"&lt;"&amp;($K11+1/24-1/1440),$E$9:$E$208,"&gt;"&amp;($K11+1/1440))=0,"",IF(COUNTIFS($B$9:$B$208,O$9,$D$9:$D$208,"&lt;"&amp;($K11+1/24-1/1440),$E$9:$E$208,"&gt;"&amp;($K11+1/1440))&gt;1,"CONFLICT",INDEX($A$9:$A$208,SUMPRODUCT(MAX(($B$9:$B$208=O$9)*($D$9:$D$208&lt;$K11+1/24-1/1440)*($E$9:$E$208&gt;$K11+1/1440)*(ROW($B$9:$B$208)-8))))))</f>
        <v/>
      </c>
      <c r="P11" s="18" t="str">
        <f aca="false">IF(COUNTIFS($B$9:$B$208,P$9,$D$9:$D$208,"&lt;"&amp;($K11+1/24-1/1440),$E$9:$E$208,"&gt;"&amp;($K11+1/1440))=0,"",IF(COUNTIFS($B$9:$B$208,P$9,$D$9:$D$208,"&lt;"&amp;($K11+1/24-1/1440),$E$9:$E$208,"&gt;"&amp;($K11+1/1440))&gt;1,"CONFLICT",INDEX($A$9:$A$208,SUMPRODUCT(MAX(($B$9:$B$208=P$9)*($D$9:$D$208&lt;$K11+1/24-1/1440)*($E$9:$E$208&gt;$K11+1/1440)*(ROW($B$9:$B$208)-8))))))</f>
        <v/>
      </c>
      <c r="Q11" s="18" t="str">
        <f aca="false">IF(COUNTIFS($B$9:$B$208,Q$9,$D$9:$D$208,"&lt;"&amp;($K11+1/24-1/1440),$E$9:$E$208,"&gt;"&amp;($K11+1/1440))=0,"",IF(COUNTIFS($B$9:$B$208,Q$9,$D$9:$D$208,"&lt;"&amp;($K11+1/24-1/1440),$E$9:$E$208,"&gt;"&amp;($K11+1/1440))&gt;1,"CONFLICT",INDEX($A$9:$A$208,SUMPRODUCT(MAX(($B$9:$B$208=Q$9)*($D$9:$D$208&lt;$K11+1/24-1/1440)*($E$9:$E$208&gt;$K11+1/1440)*(ROW($B$9:$B$208)-8))))))</f>
        <v/>
      </c>
      <c r="R11" s="18" t="str">
        <f aca="false">IF(COUNTIFS($B$9:$B$208,R$9,$D$9:$D$208,"&lt;"&amp;($K11+1/24-1/1440),$E$9:$E$208,"&gt;"&amp;($K11+1/1440))=0,"",IF(COUNTIFS($B$9:$B$208,R$9,$D$9:$D$208,"&lt;"&amp;($K11+1/24-1/1440),$E$9:$E$208,"&gt;"&amp;($K11+1/1440))&gt;1,"CONFLICT",INDEX($A$9:$A$208,SUMPRODUCT(MAX(($B$9:$B$208=R$9)*($D$9:$D$208&lt;$K11+1/24-1/1440)*($E$9:$E$208&gt;$K11+1/1440)*(ROW($B$9:$B$208)-8))))))</f>
        <v/>
      </c>
    </row>
    <row r="12" customFormat="false" ht="15" hidden="false" customHeight="false" outlineLevel="0" collapsed="false">
      <c r="A12" s="9"/>
      <c r="B12" s="10"/>
      <c r="C12" s="11" t="str">
        <f aca="false">IF(B12="","",CHOOSE(WEEKDAY(B12),"Sun","Mon","Tue","Wed","Thu","Fri","Sat"))</f>
        <v/>
      </c>
      <c r="D12" s="12"/>
      <c r="E12" s="12"/>
      <c r="F12" s="13" t="str">
        <f aca="false">IF(OR(D12="",E12=""),"",IF(E12&gt;D12,(E12-D12)*24,""))</f>
        <v/>
      </c>
      <c r="G12" s="9"/>
      <c r="H12" s="11" t="str">
        <f aca="false">IF(OR(A12="",B12="",D12="",E12=""),"",IF(E12&lt;=D12,"End before start",IF(COUNTIFS($B$9:$B$208,B12,$D$9:$D$208,"&lt;"&amp;(E12-1/1440),$E$9:$E$208,"&gt;"&amp;(D12+1/1440))&gt;1,"CONFLICT","OK")))</f>
        <v/>
      </c>
      <c r="K12" s="17" t="n">
        <v>0.375</v>
      </c>
      <c r="L12" s="18" t="str">
        <f aca="false">IF(COUNTIFS($B$9:$B$208,L$9,$D$9:$D$208,"&lt;"&amp;($K12+1/24-1/1440),$E$9:$E$208,"&gt;"&amp;($K12+1/1440))=0,"",IF(COUNTIFS($B$9:$B$208,L$9,$D$9:$D$208,"&lt;"&amp;($K12+1/24-1/1440),$E$9:$E$208,"&gt;"&amp;($K12+1/1440))&gt;1,"CONFLICT",INDEX($A$9:$A$208,SUMPRODUCT(MAX(($B$9:$B$208=L$9)*($D$9:$D$208&lt;$K12+1/24-1/1440)*($E$9:$E$208&gt;$K12+1/1440)*(ROW($B$9:$B$208)-8))))))</f>
        <v/>
      </c>
      <c r="M12" s="18" t="str">
        <f aca="false">IF(COUNTIFS($B$9:$B$208,M$9,$D$9:$D$208,"&lt;"&amp;($K12+1/24-1/1440),$E$9:$E$208,"&gt;"&amp;($K12+1/1440))=0,"",IF(COUNTIFS($B$9:$B$208,M$9,$D$9:$D$208,"&lt;"&amp;($K12+1/24-1/1440),$E$9:$E$208,"&gt;"&amp;($K12+1/1440))&gt;1,"CONFLICT",INDEX($A$9:$A$208,SUMPRODUCT(MAX(($B$9:$B$208=M$9)*($D$9:$D$208&lt;$K12+1/24-1/1440)*($E$9:$E$208&gt;$K12+1/1440)*(ROW($B$9:$B$208)-8))))))</f>
        <v/>
      </c>
      <c r="N12" s="18" t="str">
        <f aca="false">IF(COUNTIFS($B$9:$B$208,N$9,$D$9:$D$208,"&lt;"&amp;($K12+1/24-1/1440),$E$9:$E$208,"&gt;"&amp;($K12+1/1440))=0,"",IF(COUNTIFS($B$9:$B$208,N$9,$D$9:$D$208,"&lt;"&amp;($K12+1/24-1/1440),$E$9:$E$208,"&gt;"&amp;($K12+1/1440))&gt;1,"CONFLICT",INDEX($A$9:$A$208,SUMPRODUCT(MAX(($B$9:$B$208=N$9)*($D$9:$D$208&lt;$K12+1/24-1/1440)*($E$9:$E$208&gt;$K12+1/1440)*(ROW($B$9:$B$208)-8))))))</f>
        <v/>
      </c>
      <c r="O12" s="18" t="str">
        <f aca="false">IF(COUNTIFS($B$9:$B$208,O$9,$D$9:$D$208,"&lt;"&amp;($K12+1/24-1/1440),$E$9:$E$208,"&gt;"&amp;($K12+1/1440))=0,"",IF(COUNTIFS($B$9:$B$208,O$9,$D$9:$D$208,"&lt;"&amp;($K12+1/24-1/1440),$E$9:$E$208,"&gt;"&amp;($K12+1/1440))&gt;1,"CONFLICT",INDEX($A$9:$A$208,SUMPRODUCT(MAX(($B$9:$B$208=O$9)*($D$9:$D$208&lt;$K12+1/24-1/1440)*($E$9:$E$208&gt;$K12+1/1440)*(ROW($B$9:$B$208)-8))))))</f>
        <v/>
      </c>
      <c r="P12" s="18" t="str">
        <f aca="false">IF(COUNTIFS($B$9:$B$208,P$9,$D$9:$D$208,"&lt;"&amp;($K12+1/24-1/1440),$E$9:$E$208,"&gt;"&amp;($K12+1/1440))=0,"",IF(COUNTIFS($B$9:$B$208,P$9,$D$9:$D$208,"&lt;"&amp;($K12+1/24-1/1440),$E$9:$E$208,"&gt;"&amp;($K12+1/1440))&gt;1,"CONFLICT",INDEX($A$9:$A$208,SUMPRODUCT(MAX(($B$9:$B$208=P$9)*($D$9:$D$208&lt;$K12+1/24-1/1440)*($E$9:$E$208&gt;$K12+1/1440)*(ROW($B$9:$B$208)-8))))))</f>
        <v/>
      </c>
      <c r="Q12" s="18" t="str">
        <f aca="false">IF(COUNTIFS($B$9:$B$208,Q$9,$D$9:$D$208,"&lt;"&amp;($K12+1/24-1/1440),$E$9:$E$208,"&gt;"&amp;($K12+1/1440))=0,"",IF(COUNTIFS($B$9:$B$208,Q$9,$D$9:$D$208,"&lt;"&amp;($K12+1/24-1/1440),$E$9:$E$208,"&gt;"&amp;($K12+1/1440))&gt;1,"CONFLICT",INDEX($A$9:$A$208,SUMPRODUCT(MAX(($B$9:$B$208=Q$9)*($D$9:$D$208&lt;$K12+1/24-1/1440)*($E$9:$E$208&gt;$K12+1/1440)*(ROW($B$9:$B$208)-8))))))</f>
        <v/>
      </c>
      <c r="R12" s="18" t="str">
        <f aca="false">IF(COUNTIFS($B$9:$B$208,R$9,$D$9:$D$208,"&lt;"&amp;($K12+1/24-1/1440),$E$9:$E$208,"&gt;"&amp;($K12+1/1440))=0,"",IF(COUNTIFS($B$9:$B$208,R$9,$D$9:$D$208,"&lt;"&amp;($K12+1/24-1/1440),$E$9:$E$208,"&gt;"&amp;($K12+1/1440))&gt;1,"CONFLICT",INDEX($A$9:$A$208,SUMPRODUCT(MAX(($B$9:$B$208=R$9)*($D$9:$D$208&lt;$K12+1/24-1/1440)*($E$9:$E$208&gt;$K12+1/1440)*(ROW($B$9:$B$208)-8))))))</f>
        <v/>
      </c>
    </row>
    <row r="13" customFormat="false" ht="15" hidden="false" customHeight="false" outlineLevel="0" collapsed="false">
      <c r="A13" s="9"/>
      <c r="B13" s="10"/>
      <c r="C13" s="11" t="str">
        <f aca="false">IF(B13="","",CHOOSE(WEEKDAY(B13),"Sun","Mon","Tue","Wed","Thu","Fri","Sat"))</f>
        <v/>
      </c>
      <c r="D13" s="12"/>
      <c r="E13" s="12"/>
      <c r="F13" s="13" t="str">
        <f aca="false">IF(OR(D13="",E13=""),"",IF(E13&gt;D13,(E13-D13)*24,""))</f>
        <v/>
      </c>
      <c r="G13" s="9"/>
      <c r="H13" s="11" t="str">
        <f aca="false">IF(OR(A13="",B13="",D13="",E13=""),"",IF(E13&lt;=D13,"End before start",IF(COUNTIFS($B$9:$B$208,B13,$D$9:$D$208,"&lt;"&amp;(E13-1/1440),$E$9:$E$208,"&gt;"&amp;(D13+1/1440))&gt;1,"CONFLICT","OK")))</f>
        <v/>
      </c>
      <c r="K13" s="17" t="n">
        <v>0.416666666666667</v>
      </c>
      <c r="L13" s="18" t="str">
        <f aca="false">IF(COUNTIFS($B$9:$B$208,L$9,$D$9:$D$208,"&lt;"&amp;($K13+1/24-1/1440),$E$9:$E$208,"&gt;"&amp;($K13+1/1440))=0,"",IF(COUNTIFS($B$9:$B$208,L$9,$D$9:$D$208,"&lt;"&amp;($K13+1/24-1/1440),$E$9:$E$208,"&gt;"&amp;($K13+1/1440))&gt;1,"CONFLICT",INDEX($A$9:$A$208,SUMPRODUCT(MAX(($B$9:$B$208=L$9)*($D$9:$D$208&lt;$K13+1/24-1/1440)*($E$9:$E$208&gt;$K13+1/1440)*(ROW($B$9:$B$208)-8))))))</f>
        <v/>
      </c>
      <c r="M13" s="18" t="str">
        <f aca="false">IF(COUNTIFS($B$9:$B$208,M$9,$D$9:$D$208,"&lt;"&amp;($K13+1/24-1/1440),$E$9:$E$208,"&gt;"&amp;($K13+1/1440))=0,"",IF(COUNTIFS($B$9:$B$208,M$9,$D$9:$D$208,"&lt;"&amp;($K13+1/24-1/1440),$E$9:$E$208,"&gt;"&amp;($K13+1/1440))&gt;1,"CONFLICT",INDEX($A$9:$A$208,SUMPRODUCT(MAX(($B$9:$B$208=M$9)*($D$9:$D$208&lt;$K13+1/24-1/1440)*($E$9:$E$208&gt;$K13+1/1440)*(ROW($B$9:$B$208)-8))))))</f>
        <v/>
      </c>
      <c r="N13" s="18" t="str">
        <f aca="false">IF(COUNTIFS($B$9:$B$208,N$9,$D$9:$D$208,"&lt;"&amp;($K13+1/24-1/1440),$E$9:$E$208,"&gt;"&amp;($K13+1/1440))=0,"",IF(COUNTIFS($B$9:$B$208,N$9,$D$9:$D$208,"&lt;"&amp;($K13+1/24-1/1440),$E$9:$E$208,"&gt;"&amp;($K13+1/1440))&gt;1,"CONFLICT",INDEX($A$9:$A$208,SUMPRODUCT(MAX(($B$9:$B$208=N$9)*($D$9:$D$208&lt;$K13+1/24-1/1440)*($E$9:$E$208&gt;$K13+1/1440)*(ROW($B$9:$B$208)-8))))))</f>
        <v/>
      </c>
      <c r="O13" s="18" t="str">
        <f aca="false">IF(COUNTIFS($B$9:$B$208,O$9,$D$9:$D$208,"&lt;"&amp;($K13+1/24-1/1440),$E$9:$E$208,"&gt;"&amp;($K13+1/1440))=0,"",IF(COUNTIFS($B$9:$B$208,O$9,$D$9:$D$208,"&lt;"&amp;($K13+1/24-1/1440),$E$9:$E$208,"&gt;"&amp;($K13+1/1440))&gt;1,"CONFLICT",INDEX($A$9:$A$208,SUMPRODUCT(MAX(($B$9:$B$208=O$9)*($D$9:$D$208&lt;$K13+1/24-1/1440)*($E$9:$E$208&gt;$K13+1/1440)*(ROW($B$9:$B$208)-8))))))</f>
        <v/>
      </c>
      <c r="P13" s="18" t="str">
        <f aca="false">IF(COUNTIFS($B$9:$B$208,P$9,$D$9:$D$208,"&lt;"&amp;($K13+1/24-1/1440),$E$9:$E$208,"&gt;"&amp;($K13+1/1440))=0,"",IF(COUNTIFS($B$9:$B$208,P$9,$D$9:$D$208,"&lt;"&amp;($K13+1/24-1/1440),$E$9:$E$208,"&gt;"&amp;($K13+1/1440))&gt;1,"CONFLICT",INDEX($A$9:$A$208,SUMPRODUCT(MAX(($B$9:$B$208=P$9)*($D$9:$D$208&lt;$K13+1/24-1/1440)*($E$9:$E$208&gt;$K13+1/1440)*(ROW($B$9:$B$208)-8))))))</f>
        <v/>
      </c>
      <c r="Q13" s="18" t="str">
        <f aca="false">IF(COUNTIFS($B$9:$B$208,Q$9,$D$9:$D$208,"&lt;"&amp;($K13+1/24-1/1440),$E$9:$E$208,"&gt;"&amp;($K13+1/1440))=0,"",IF(COUNTIFS($B$9:$B$208,Q$9,$D$9:$D$208,"&lt;"&amp;($K13+1/24-1/1440),$E$9:$E$208,"&gt;"&amp;($K13+1/1440))&gt;1,"CONFLICT",INDEX($A$9:$A$208,SUMPRODUCT(MAX(($B$9:$B$208=Q$9)*($D$9:$D$208&lt;$K13+1/24-1/1440)*($E$9:$E$208&gt;$K13+1/1440)*(ROW($B$9:$B$208)-8))))))</f>
        <v/>
      </c>
      <c r="R13" s="18" t="str">
        <f aca="false">IF(COUNTIFS($B$9:$B$208,R$9,$D$9:$D$208,"&lt;"&amp;($K13+1/24-1/1440),$E$9:$E$208,"&gt;"&amp;($K13+1/1440))=0,"",IF(COUNTIFS($B$9:$B$208,R$9,$D$9:$D$208,"&lt;"&amp;($K13+1/24-1/1440),$E$9:$E$208,"&gt;"&amp;($K13+1/1440))&gt;1,"CONFLICT",INDEX($A$9:$A$208,SUMPRODUCT(MAX(($B$9:$B$208=R$9)*($D$9:$D$208&lt;$K13+1/24-1/1440)*($E$9:$E$208&gt;$K13+1/1440)*(ROW($B$9:$B$208)-8))))))</f>
        <v/>
      </c>
    </row>
    <row r="14" customFormat="false" ht="15" hidden="false" customHeight="false" outlineLevel="0" collapsed="false">
      <c r="A14" s="9"/>
      <c r="B14" s="10"/>
      <c r="C14" s="11" t="str">
        <f aca="false">IF(B14="","",CHOOSE(WEEKDAY(B14),"Sun","Mon","Tue","Wed","Thu","Fri","Sat"))</f>
        <v/>
      </c>
      <c r="D14" s="12"/>
      <c r="E14" s="12"/>
      <c r="F14" s="13" t="str">
        <f aca="false">IF(OR(D14="",E14=""),"",IF(E14&gt;D14,(E14-D14)*24,""))</f>
        <v/>
      </c>
      <c r="G14" s="9"/>
      <c r="H14" s="11" t="str">
        <f aca="false">IF(OR(A14="",B14="",D14="",E14=""),"",IF(E14&lt;=D14,"End before start",IF(COUNTIFS($B$9:$B$208,B14,$D$9:$D$208,"&lt;"&amp;(E14-1/1440),$E$9:$E$208,"&gt;"&amp;(D14+1/1440))&gt;1,"CONFLICT","OK")))</f>
        <v/>
      </c>
      <c r="K14" s="17" t="n">
        <v>0.458333333333333</v>
      </c>
      <c r="L14" s="18" t="str">
        <f aca="false">IF(COUNTIFS($B$9:$B$208,L$9,$D$9:$D$208,"&lt;"&amp;($K14+1/24-1/1440),$E$9:$E$208,"&gt;"&amp;($K14+1/1440))=0,"",IF(COUNTIFS($B$9:$B$208,L$9,$D$9:$D$208,"&lt;"&amp;($K14+1/24-1/1440),$E$9:$E$208,"&gt;"&amp;($K14+1/1440))&gt;1,"CONFLICT",INDEX($A$9:$A$208,SUMPRODUCT(MAX(($B$9:$B$208=L$9)*($D$9:$D$208&lt;$K14+1/24-1/1440)*($E$9:$E$208&gt;$K14+1/1440)*(ROW($B$9:$B$208)-8))))))</f>
        <v/>
      </c>
      <c r="M14" s="18" t="str">
        <f aca="false">IF(COUNTIFS($B$9:$B$208,M$9,$D$9:$D$208,"&lt;"&amp;($K14+1/24-1/1440),$E$9:$E$208,"&gt;"&amp;($K14+1/1440))=0,"",IF(COUNTIFS($B$9:$B$208,M$9,$D$9:$D$208,"&lt;"&amp;($K14+1/24-1/1440),$E$9:$E$208,"&gt;"&amp;($K14+1/1440))&gt;1,"CONFLICT",INDEX($A$9:$A$208,SUMPRODUCT(MAX(($B$9:$B$208=M$9)*($D$9:$D$208&lt;$K14+1/24-1/1440)*($E$9:$E$208&gt;$K14+1/1440)*(ROW($B$9:$B$208)-8))))))</f>
        <v/>
      </c>
      <c r="N14" s="18" t="str">
        <f aca="false">IF(COUNTIFS($B$9:$B$208,N$9,$D$9:$D$208,"&lt;"&amp;($K14+1/24-1/1440),$E$9:$E$208,"&gt;"&amp;($K14+1/1440))=0,"",IF(COUNTIFS($B$9:$B$208,N$9,$D$9:$D$208,"&lt;"&amp;($K14+1/24-1/1440),$E$9:$E$208,"&gt;"&amp;($K14+1/1440))&gt;1,"CONFLICT",INDEX($A$9:$A$208,SUMPRODUCT(MAX(($B$9:$B$208=N$9)*($D$9:$D$208&lt;$K14+1/24-1/1440)*($E$9:$E$208&gt;$K14+1/1440)*(ROW($B$9:$B$208)-8))))))</f>
        <v/>
      </c>
      <c r="O14" s="18" t="str">
        <f aca="false">IF(COUNTIFS($B$9:$B$208,O$9,$D$9:$D$208,"&lt;"&amp;($K14+1/24-1/1440),$E$9:$E$208,"&gt;"&amp;($K14+1/1440))=0,"",IF(COUNTIFS($B$9:$B$208,O$9,$D$9:$D$208,"&lt;"&amp;($K14+1/24-1/1440),$E$9:$E$208,"&gt;"&amp;($K14+1/1440))&gt;1,"CONFLICT",INDEX($A$9:$A$208,SUMPRODUCT(MAX(($B$9:$B$208=O$9)*($D$9:$D$208&lt;$K14+1/24-1/1440)*($E$9:$E$208&gt;$K14+1/1440)*(ROW($B$9:$B$208)-8))))))</f>
        <v/>
      </c>
      <c r="P14" s="18" t="str">
        <f aca="false">IF(COUNTIFS($B$9:$B$208,P$9,$D$9:$D$208,"&lt;"&amp;($K14+1/24-1/1440),$E$9:$E$208,"&gt;"&amp;($K14+1/1440))=0,"",IF(COUNTIFS($B$9:$B$208,P$9,$D$9:$D$208,"&lt;"&amp;($K14+1/24-1/1440),$E$9:$E$208,"&gt;"&amp;($K14+1/1440))&gt;1,"CONFLICT",INDEX($A$9:$A$208,SUMPRODUCT(MAX(($B$9:$B$208=P$9)*($D$9:$D$208&lt;$K14+1/24-1/1440)*($E$9:$E$208&gt;$K14+1/1440)*(ROW($B$9:$B$208)-8))))))</f>
        <v/>
      </c>
      <c r="Q14" s="18" t="str">
        <f aca="false">IF(COUNTIFS($B$9:$B$208,Q$9,$D$9:$D$208,"&lt;"&amp;($K14+1/24-1/1440),$E$9:$E$208,"&gt;"&amp;($K14+1/1440))=0,"",IF(COUNTIFS($B$9:$B$208,Q$9,$D$9:$D$208,"&lt;"&amp;($K14+1/24-1/1440),$E$9:$E$208,"&gt;"&amp;($K14+1/1440))&gt;1,"CONFLICT",INDEX($A$9:$A$208,SUMPRODUCT(MAX(($B$9:$B$208=Q$9)*($D$9:$D$208&lt;$K14+1/24-1/1440)*($E$9:$E$208&gt;$K14+1/1440)*(ROW($B$9:$B$208)-8))))))</f>
        <v/>
      </c>
      <c r="R14" s="18" t="str">
        <f aca="false">IF(COUNTIFS($B$9:$B$208,R$9,$D$9:$D$208,"&lt;"&amp;($K14+1/24-1/1440),$E$9:$E$208,"&gt;"&amp;($K14+1/1440))=0,"",IF(COUNTIFS($B$9:$B$208,R$9,$D$9:$D$208,"&lt;"&amp;($K14+1/24-1/1440),$E$9:$E$208,"&gt;"&amp;($K14+1/1440))&gt;1,"CONFLICT",INDEX($A$9:$A$208,SUMPRODUCT(MAX(($B$9:$B$208=R$9)*($D$9:$D$208&lt;$K14+1/24-1/1440)*($E$9:$E$208&gt;$K14+1/1440)*(ROW($B$9:$B$208)-8))))))</f>
        <v/>
      </c>
    </row>
    <row r="15" customFormat="false" ht="15" hidden="false" customHeight="false" outlineLevel="0" collapsed="false">
      <c r="A15" s="9"/>
      <c r="B15" s="10"/>
      <c r="C15" s="11" t="str">
        <f aca="false">IF(B15="","",CHOOSE(WEEKDAY(B15),"Sun","Mon","Tue","Wed","Thu","Fri","Sat"))</f>
        <v/>
      </c>
      <c r="D15" s="12"/>
      <c r="E15" s="12"/>
      <c r="F15" s="13" t="str">
        <f aca="false">IF(OR(D15="",E15=""),"",IF(E15&gt;D15,(E15-D15)*24,""))</f>
        <v/>
      </c>
      <c r="G15" s="9"/>
      <c r="H15" s="11" t="str">
        <f aca="false">IF(OR(A15="",B15="",D15="",E15=""),"",IF(E15&lt;=D15,"End before start",IF(COUNTIFS($B$9:$B$208,B15,$D$9:$D$208,"&lt;"&amp;(E15-1/1440),$E$9:$E$208,"&gt;"&amp;(D15+1/1440))&gt;1,"CONFLICT","OK")))</f>
        <v/>
      </c>
      <c r="K15" s="17" t="n">
        <v>0.5</v>
      </c>
      <c r="L15" s="18" t="str">
        <f aca="false">IF(COUNTIFS($B$9:$B$208,L$9,$D$9:$D$208,"&lt;"&amp;($K15+1/24-1/1440),$E$9:$E$208,"&gt;"&amp;($K15+1/1440))=0,"",IF(COUNTIFS($B$9:$B$208,L$9,$D$9:$D$208,"&lt;"&amp;($K15+1/24-1/1440),$E$9:$E$208,"&gt;"&amp;($K15+1/1440))&gt;1,"CONFLICT",INDEX($A$9:$A$208,SUMPRODUCT(MAX(($B$9:$B$208=L$9)*($D$9:$D$208&lt;$K15+1/24-1/1440)*($E$9:$E$208&gt;$K15+1/1440)*(ROW($B$9:$B$208)-8))))))</f>
        <v/>
      </c>
      <c r="M15" s="18" t="str">
        <f aca="false">IF(COUNTIFS($B$9:$B$208,M$9,$D$9:$D$208,"&lt;"&amp;($K15+1/24-1/1440),$E$9:$E$208,"&gt;"&amp;($K15+1/1440))=0,"",IF(COUNTIFS($B$9:$B$208,M$9,$D$9:$D$208,"&lt;"&amp;($K15+1/24-1/1440),$E$9:$E$208,"&gt;"&amp;($K15+1/1440))&gt;1,"CONFLICT",INDEX($A$9:$A$208,SUMPRODUCT(MAX(($B$9:$B$208=M$9)*($D$9:$D$208&lt;$K15+1/24-1/1440)*($E$9:$E$208&gt;$K15+1/1440)*(ROW($B$9:$B$208)-8))))))</f>
        <v/>
      </c>
      <c r="N15" s="18" t="str">
        <f aca="false">IF(COUNTIFS($B$9:$B$208,N$9,$D$9:$D$208,"&lt;"&amp;($K15+1/24-1/1440),$E$9:$E$208,"&gt;"&amp;($K15+1/1440))=0,"",IF(COUNTIFS($B$9:$B$208,N$9,$D$9:$D$208,"&lt;"&amp;($K15+1/24-1/1440),$E$9:$E$208,"&gt;"&amp;($K15+1/1440))&gt;1,"CONFLICT",INDEX($A$9:$A$208,SUMPRODUCT(MAX(($B$9:$B$208=N$9)*($D$9:$D$208&lt;$K15+1/24-1/1440)*($E$9:$E$208&gt;$K15+1/1440)*(ROW($B$9:$B$208)-8))))))</f>
        <v/>
      </c>
      <c r="O15" s="18" t="str">
        <f aca="false">IF(COUNTIFS($B$9:$B$208,O$9,$D$9:$D$208,"&lt;"&amp;($K15+1/24-1/1440),$E$9:$E$208,"&gt;"&amp;($K15+1/1440))=0,"",IF(COUNTIFS($B$9:$B$208,O$9,$D$9:$D$208,"&lt;"&amp;($K15+1/24-1/1440),$E$9:$E$208,"&gt;"&amp;($K15+1/1440))&gt;1,"CONFLICT",INDEX($A$9:$A$208,SUMPRODUCT(MAX(($B$9:$B$208=O$9)*($D$9:$D$208&lt;$K15+1/24-1/1440)*($E$9:$E$208&gt;$K15+1/1440)*(ROW($B$9:$B$208)-8))))))</f>
        <v/>
      </c>
      <c r="P15" s="18" t="str">
        <f aca="false">IF(COUNTIFS($B$9:$B$208,P$9,$D$9:$D$208,"&lt;"&amp;($K15+1/24-1/1440),$E$9:$E$208,"&gt;"&amp;($K15+1/1440))=0,"",IF(COUNTIFS($B$9:$B$208,P$9,$D$9:$D$208,"&lt;"&amp;($K15+1/24-1/1440),$E$9:$E$208,"&gt;"&amp;($K15+1/1440))&gt;1,"CONFLICT",INDEX($A$9:$A$208,SUMPRODUCT(MAX(($B$9:$B$208=P$9)*($D$9:$D$208&lt;$K15+1/24-1/1440)*($E$9:$E$208&gt;$K15+1/1440)*(ROW($B$9:$B$208)-8))))))</f>
        <v/>
      </c>
      <c r="Q15" s="18" t="str">
        <f aca="false">IF(COUNTIFS($B$9:$B$208,Q$9,$D$9:$D$208,"&lt;"&amp;($K15+1/24-1/1440),$E$9:$E$208,"&gt;"&amp;($K15+1/1440))=0,"",IF(COUNTIFS($B$9:$B$208,Q$9,$D$9:$D$208,"&lt;"&amp;($K15+1/24-1/1440),$E$9:$E$208,"&gt;"&amp;($K15+1/1440))&gt;1,"CONFLICT",INDEX($A$9:$A$208,SUMPRODUCT(MAX(($B$9:$B$208=Q$9)*($D$9:$D$208&lt;$K15+1/24-1/1440)*($E$9:$E$208&gt;$K15+1/1440)*(ROW($B$9:$B$208)-8))))))</f>
        <v/>
      </c>
      <c r="R15" s="18" t="str">
        <f aca="false">IF(COUNTIFS($B$9:$B$208,R$9,$D$9:$D$208,"&lt;"&amp;($K15+1/24-1/1440),$E$9:$E$208,"&gt;"&amp;($K15+1/1440))=0,"",IF(COUNTIFS($B$9:$B$208,R$9,$D$9:$D$208,"&lt;"&amp;($K15+1/24-1/1440),$E$9:$E$208,"&gt;"&amp;($K15+1/1440))&gt;1,"CONFLICT",INDEX($A$9:$A$208,SUMPRODUCT(MAX(($B$9:$B$208=R$9)*($D$9:$D$208&lt;$K15+1/24-1/1440)*($E$9:$E$208&gt;$K15+1/1440)*(ROW($B$9:$B$208)-8))))))</f>
        <v/>
      </c>
    </row>
    <row r="16" customFormat="false" ht="15" hidden="false" customHeight="false" outlineLevel="0" collapsed="false">
      <c r="A16" s="9"/>
      <c r="B16" s="10"/>
      <c r="C16" s="11" t="str">
        <f aca="false">IF(B16="","",CHOOSE(WEEKDAY(B16),"Sun","Mon","Tue","Wed","Thu","Fri","Sat"))</f>
        <v/>
      </c>
      <c r="D16" s="12"/>
      <c r="E16" s="12"/>
      <c r="F16" s="13" t="str">
        <f aca="false">IF(OR(D16="",E16=""),"",IF(E16&gt;D16,(E16-D16)*24,""))</f>
        <v/>
      </c>
      <c r="G16" s="9"/>
      <c r="H16" s="11" t="str">
        <f aca="false">IF(OR(A16="",B16="",D16="",E16=""),"",IF(E16&lt;=D16,"End before start",IF(COUNTIFS($B$9:$B$208,B16,$D$9:$D$208,"&lt;"&amp;(E16-1/1440),$E$9:$E$208,"&gt;"&amp;(D16+1/1440))&gt;1,"CONFLICT","OK")))</f>
        <v/>
      </c>
      <c r="K16" s="17" t="n">
        <v>0.541666666666667</v>
      </c>
      <c r="L16" s="18" t="str">
        <f aca="false">IF(COUNTIFS($B$9:$B$208,L$9,$D$9:$D$208,"&lt;"&amp;($K16+1/24-1/1440),$E$9:$E$208,"&gt;"&amp;($K16+1/1440))=0,"",IF(COUNTIFS($B$9:$B$208,L$9,$D$9:$D$208,"&lt;"&amp;($K16+1/24-1/1440),$E$9:$E$208,"&gt;"&amp;($K16+1/1440))&gt;1,"CONFLICT",INDEX($A$9:$A$208,SUMPRODUCT(MAX(($B$9:$B$208=L$9)*($D$9:$D$208&lt;$K16+1/24-1/1440)*($E$9:$E$208&gt;$K16+1/1440)*(ROW($B$9:$B$208)-8))))))</f>
        <v/>
      </c>
      <c r="M16" s="18" t="str">
        <f aca="false">IF(COUNTIFS($B$9:$B$208,M$9,$D$9:$D$208,"&lt;"&amp;($K16+1/24-1/1440),$E$9:$E$208,"&gt;"&amp;($K16+1/1440))=0,"",IF(COUNTIFS($B$9:$B$208,M$9,$D$9:$D$208,"&lt;"&amp;($K16+1/24-1/1440),$E$9:$E$208,"&gt;"&amp;($K16+1/1440))&gt;1,"CONFLICT",INDEX($A$9:$A$208,SUMPRODUCT(MAX(($B$9:$B$208=M$9)*($D$9:$D$208&lt;$K16+1/24-1/1440)*($E$9:$E$208&gt;$K16+1/1440)*(ROW($B$9:$B$208)-8))))))</f>
        <v/>
      </c>
      <c r="N16" s="18" t="str">
        <f aca="false">IF(COUNTIFS($B$9:$B$208,N$9,$D$9:$D$208,"&lt;"&amp;($K16+1/24-1/1440),$E$9:$E$208,"&gt;"&amp;($K16+1/1440))=0,"",IF(COUNTIFS($B$9:$B$208,N$9,$D$9:$D$208,"&lt;"&amp;($K16+1/24-1/1440),$E$9:$E$208,"&gt;"&amp;($K16+1/1440))&gt;1,"CONFLICT",INDEX($A$9:$A$208,SUMPRODUCT(MAX(($B$9:$B$208=N$9)*($D$9:$D$208&lt;$K16+1/24-1/1440)*($E$9:$E$208&gt;$K16+1/1440)*(ROW($B$9:$B$208)-8))))))</f>
        <v/>
      </c>
      <c r="O16" s="18" t="str">
        <f aca="false">IF(COUNTIFS($B$9:$B$208,O$9,$D$9:$D$208,"&lt;"&amp;($K16+1/24-1/1440),$E$9:$E$208,"&gt;"&amp;($K16+1/1440))=0,"",IF(COUNTIFS($B$9:$B$208,O$9,$D$9:$D$208,"&lt;"&amp;($K16+1/24-1/1440),$E$9:$E$208,"&gt;"&amp;($K16+1/1440))&gt;1,"CONFLICT",INDEX($A$9:$A$208,SUMPRODUCT(MAX(($B$9:$B$208=O$9)*($D$9:$D$208&lt;$K16+1/24-1/1440)*($E$9:$E$208&gt;$K16+1/1440)*(ROW($B$9:$B$208)-8))))))</f>
        <v/>
      </c>
      <c r="P16" s="18" t="str">
        <f aca="false">IF(COUNTIFS($B$9:$B$208,P$9,$D$9:$D$208,"&lt;"&amp;($K16+1/24-1/1440),$E$9:$E$208,"&gt;"&amp;($K16+1/1440))=0,"",IF(COUNTIFS($B$9:$B$208,P$9,$D$9:$D$208,"&lt;"&amp;($K16+1/24-1/1440),$E$9:$E$208,"&gt;"&amp;($K16+1/1440))&gt;1,"CONFLICT",INDEX($A$9:$A$208,SUMPRODUCT(MAX(($B$9:$B$208=P$9)*($D$9:$D$208&lt;$K16+1/24-1/1440)*($E$9:$E$208&gt;$K16+1/1440)*(ROW($B$9:$B$208)-8))))))</f>
        <v/>
      </c>
      <c r="Q16" s="18" t="str">
        <f aca="false">IF(COUNTIFS($B$9:$B$208,Q$9,$D$9:$D$208,"&lt;"&amp;($K16+1/24-1/1440),$E$9:$E$208,"&gt;"&amp;($K16+1/1440))=0,"",IF(COUNTIFS($B$9:$B$208,Q$9,$D$9:$D$208,"&lt;"&amp;($K16+1/24-1/1440),$E$9:$E$208,"&gt;"&amp;($K16+1/1440))&gt;1,"CONFLICT",INDEX($A$9:$A$208,SUMPRODUCT(MAX(($B$9:$B$208=Q$9)*($D$9:$D$208&lt;$K16+1/24-1/1440)*($E$9:$E$208&gt;$K16+1/1440)*(ROW($B$9:$B$208)-8))))))</f>
        <v/>
      </c>
      <c r="R16" s="18" t="str">
        <f aca="false">IF(COUNTIFS($B$9:$B$208,R$9,$D$9:$D$208,"&lt;"&amp;($K16+1/24-1/1440),$E$9:$E$208,"&gt;"&amp;($K16+1/1440))=0,"",IF(COUNTIFS($B$9:$B$208,R$9,$D$9:$D$208,"&lt;"&amp;($K16+1/24-1/1440),$E$9:$E$208,"&gt;"&amp;($K16+1/1440))&gt;1,"CONFLICT",INDEX($A$9:$A$208,SUMPRODUCT(MAX(($B$9:$B$208=R$9)*($D$9:$D$208&lt;$K16+1/24-1/1440)*($E$9:$E$208&gt;$K16+1/1440)*(ROW($B$9:$B$208)-8))))))</f>
        <v/>
      </c>
    </row>
    <row r="17" customFormat="false" ht="15" hidden="false" customHeight="false" outlineLevel="0" collapsed="false">
      <c r="A17" s="9"/>
      <c r="B17" s="10"/>
      <c r="C17" s="11" t="str">
        <f aca="false">IF(B17="","",CHOOSE(WEEKDAY(B17),"Sun","Mon","Tue","Wed","Thu","Fri","Sat"))</f>
        <v/>
      </c>
      <c r="D17" s="12"/>
      <c r="E17" s="12"/>
      <c r="F17" s="13" t="str">
        <f aca="false">IF(OR(D17="",E17=""),"",IF(E17&gt;D17,(E17-D17)*24,""))</f>
        <v/>
      </c>
      <c r="G17" s="9"/>
      <c r="H17" s="11" t="str">
        <f aca="false">IF(OR(A17="",B17="",D17="",E17=""),"",IF(E17&lt;=D17,"End before start",IF(COUNTIFS($B$9:$B$208,B17,$D$9:$D$208,"&lt;"&amp;(E17-1/1440),$E$9:$E$208,"&gt;"&amp;(D17+1/1440))&gt;1,"CONFLICT","OK")))</f>
        <v/>
      </c>
      <c r="K17" s="17" t="n">
        <v>0.583333333333333</v>
      </c>
      <c r="L17" s="18" t="str">
        <f aca="false">IF(COUNTIFS($B$9:$B$208,L$9,$D$9:$D$208,"&lt;"&amp;($K17+1/24-1/1440),$E$9:$E$208,"&gt;"&amp;($K17+1/1440))=0,"",IF(COUNTIFS($B$9:$B$208,L$9,$D$9:$D$208,"&lt;"&amp;($K17+1/24-1/1440),$E$9:$E$208,"&gt;"&amp;($K17+1/1440))&gt;1,"CONFLICT",INDEX($A$9:$A$208,SUMPRODUCT(MAX(($B$9:$B$208=L$9)*($D$9:$D$208&lt;$K17+1/24-1/1440)*($E$9:$E$208&gt;$K17+1/1440)*(ROW($B$9:$B$208)-8))))))</f>
        <v/>
      </c>
      <c r="M17" s="18" t="str">
        <f aca="false">IF(COUNTIFS($B$9:$B$208,M$9,$D$9:$D$208,"&lt;"&amp;($K17+1/24-1/1440),$E$9:$E$208,"&gt;"&amp;($K17+1/1440))=0,"",IF(COUNTIFS($B$9:$B$208,M$9,$D$9:$D$208,"&lt;"&amp;($K17+1/24-1/1440),$E$9:$E$208,"&gt;"&amp;($K17+1/1440))&gt;1,"CONFLICT",INDEX($A$9:$A$208,SUMPRODUCT(MAX(($B$9:$B$208=M$9)*($D$9:$D$208&lt;$K17+1/24-1/1440)*($E$9:$E$208&gt;$K17+1/1440)*(ROW($B$9:$B$208)-8))))))</f>
        <v/>
      </c>
      <c r="N17" s="18" t="str">
        <f aca="false">IF(COUNTIFS($B$9:$B$208,N$9,$D$9:$D$208,"&lt;"&amp;($K17+1/24-1/1440),$E$9:$E$208,"&gt;"&amp;($K17+1/1440))=0,"",IF(COUNTIFS($B$9:$B$208,N$9,$D$9:$D$208,"&lt;"&amp;($K17+1/24-1/1440),$E$9:$E$208,"&gt;"&amp;($K17+1/1440))&gt;1,"CONFLICT",INDEX($A$9:$A$208,SUMPRODUCT(MAX(($B$9:$B$208=N$9)*($D$9:$D$208&lt;$K17+1/24-1/1440)*($E$9:$E$208&gt;$K17+1/1440)*(ROW($B$9:$B$208)-8))))))</f>
        <v/>
      </c>
      <c r="O17" s="18" t="str">
        <f aca="false">IF(COUNTIFS($B$9:$B$208,O$9,$D$9:$D$208,"&lt;"&amp;($K17+1/24-1/1440),$E$9:$E$208,"&gt;"&amp;($K17+1/1440))=0,"",IF(COUNTIFS($B$9:$B$208,O$9,$D$9:$D$208,"&lt;"&amp;($K17+1/24-1/1440),$E$9:$E$208,"&gt;"&amp;($K17+1/1440))&gt;1,"CONFLICT",INDEX($A$9:$A$208,SUMPRODUCT(MAX(($B$9:$B$208=O$9)*($D$9:$D$208&lt;$K17+1/24-1/1440)*($E$9:$E$208&gt;$K17+1/1440)*(ROW($B$9:$B$208)-8))))))</f>
        <v/>
      </c>
      <c r="P17" s="18" t="str">
        <f aca="false">IF(COUNTIFS($B$9:$B$208,P$9,$D$9:$D$208,"&lt;"&amp;($K17+1/24-1/1440),$E$9:$E$208,"&gt;"&amp;($K17+1/1440))=0,"",IF(COUNTIFS($B$9:$B$208,P$9,$D$9:$D$208,"&lt;"&amp;($K17+1/24-1/1440),$E$9:$E$208,"&gt;"&amp;($K17+1/1440))&gt;1,"CONFLICT",INDEX($A$9:$A$208,SUMPRODUCT(MAX(($B$9:$B$208=P$9)*($D$9:$D$208&lt;$K17+1/24-1/1440)*($E$9:$E$208&gt;$K17+1/1440)*(ROW($B$9:$B$208)-8))))))</f>
        <v/>
      </c>
      <c r="Q17" s="18" t="str">
        <f aca="false">IF(COUNTIFS($B$9:$B$208,Q$9,$D$9:$D$208,"&lt;"&amp;($K17+1/24-1/1440),$E$9:$E$208,"&gt;"&amp;($K17+1/1440))=0,"",IF(COUNTIFS($B$9:$B$208,Q$9,$D$9:$D$208,"&lt;"&amp;($K17+1/24-1/1440),$E$9:$E$208,"&gt;"&amp;($K17+1/1440))&gt;1,"CONFLICT",INDEX($A$9:$A$208,SUMPRODUCT(MAX(($B$9:$B$208=Q$9)*($D$9:$D$208&lt;$K17+1/24-1/1440)*($E$9:$E$208&gt;$K17+1/1440)*(ROW($B$9:$B$208)-8))))))</f>
        <v/>
      </c>
      <c r="R17" s="18" t="str">
        <f aca="false">IF(COUNTIFS($B$9:$B$208,R$9,$D$9:$D$208,"&lt;"&amp;($K17+1/24-1/1440),$E$9:$E$208,"&gt;"&amp;($K17+1/1440))=0,"",IF(COUNTIFS($B$9:$B$208,R$9,$D$9:$D$208,"&lt;"&amp;($K17+1/24-1/1440),$E$9:$E$208,"&gt;"&amp;($K17+1/1440))&gt;1,"CONFLICT",INDEX($A$9:$A$208,SUMPRODUCT(MAX(($B$9:$B$208=R$9)*($D$9:$D$208&lt;$K17+1/24-1/1440)*($E$9:$E$208&gt;$K17+1/1440)*(ROW($B$9:$B$208)-8))))))</f>
        <v/>
      </c>
    </row>
    <row r="18" customFormat="false" ht="15" hidden="false" customHeight="false" outlineLevel="0" collapsed="false">
      <c r="A18" s="9"/>
      <c r="B18" s="10"/>
      <c r="C18" s="11" t="str">
        <f aca="false">IF(B18="","",CHOOSE(WEEKDAY(B18),"Sun","Mon","Tue","Wed","Thu","Fri","Sat"))</f>
        <v/>
      </c>
      <c r="D18" s="12"/>
      <c r="E18" s="12"/>
      <c r="F18" s="13" t="str">
        <f aca="false">IF(OR(D18="",E18=""),"",IF(E18&gt;D18,(E18-D18)*24,""))</f>
        <v/>
      </c>
      <c r="G18" s="9"/>
      <c r="H18" s="11" t="str">
        <f aca="false">IF(OR(A18="",B18="",D18="",E18=""),"",IF(E18&lt;=D18,"End before start",IF(COUNTIFS($B$9:$B$208,B18,$D$9:$D$208,"&lt;"&amp;(E18-1/1440),$E$9:$E$208,"&gt;"&amp;(D18+1/1440))&gt;1,"CONFLICT","OK")))</f>
        <v/>
      </c>
      <c r="K18" s="17" t="n">
        <v>0.625</v>
      </c>
      <c r="L18" s="18" t="str">
        <f aca="false">IF(COUNTIFS($B$9:$B$208,L$9,$D$9:$D$208,"&lt;"&amp;($K18+1/24-1/1440),$E$9:$E$208,"&gt;"&amp;($K18+1/1440))=0,"",IF(COUNTIFS($B$9:$B$208,L$9,$D$9:$D$208,"&lt;"&amp;($K18+1/24-1/1440),$E$9:$E$208,"&gt;"&amp;($K18+1/1440))&gt;1,"CONFLICT",INDEX($A$9:$A$208,SUMPRODUCT(MAX(($B$9:$B$208=L$9)*($D$9:$D$208&lt;$K18+1/24-1/1440)*($E$9:$E$208&gt;$K18+1/1440)*(ROW($B$9:$B$208)-8))))))</f>
        <v/>
      </c>
      <c r="M18" s="18" t="str">
        <f aca="false">IF(COUNTIFS($B$9:$B$208,M$9,$D$9:$D$208,"&lt;"&amp;($K18+1/24-1/1440),$E$9:$E$208,"&gt;"&amp;($K18+1/1440))=0,"",IF(COUNTIFS($B$9:$B$208,M$9,$D$9:$D$208,"&lt;"&amp;($K18+1/24-1/1440),$E$9:$E$208,"&gt;"&amp;($K18+1/1440))&gt;1,"CONFLICT",INDEX($A$9:$A$208,SUMPRODUCT(MAX(($B$9:$B$208=M$9)*($D$9:$D$208&lt;$K18+1/24-1/1440)*($E$9:$E$208&gt;$K18+1/1440)*(ROW($B$9:$B$208)-8))))))</f>
        <v/>
      </c>
      <c r="N18" s="18" t="str">
        <f aca="false">IF(COUNTIFS($B$9:$B$208,N$9,$D$9:$D$208,"&lt;"&amp;($K18+1/24-1/1440),$E$9:$E$208,"&gt;"&amp;($K18+1/1440))=0,"",IF(COUNTIFS($B$9:$B$208,N$9,$D$9:$D$208,"&lt;"&amp;($K18+1/24-1/1440),$E$9:$E$208,"&gt;"&amp;($K18+1/1440))&gt;1,"CONFLICT",INDEX($A$9:$A$208,SUMPRODUCT(MAX(($B$9:$B$208=N$9)*($D$9:$D$208&lt;$K18+1/24-1/1440)*($E$9:$E$208&gt;$K18+1/1440)*(ROW($B$9:$B$208)-8))))))</f>
        <v/>
      </c>
      <c r="O18" s="18" t="str">
        <f aca="false">IF(COUNTIFS($B$9:$B$208,O$9,$D$9:$D$208,"&lt;"&amp;($K18+1/24-1/1440),$E$9:$E$208,"&gt;"&amp;($K18+1/1440))=0,"",IF(COUNTIFS($B$9:$B$208,O$9,$D$9:$D$208,"&lt;"&amp;($K18+1/24-1/1440),$E$9:$E$208,"&gt;"&amp;($K18+1/1440))&gt;1,"CONFLICT",INDEX($A$9:$A$208,SUMPRODUCT(MAX(($B$9:$B$208=O$9)*($D$9:$D$208&lt;$K18+1/24-1/1440)*($E$9:$E$208&gt;$K18+1/1440)*(ROW($B$9:$B$208)-8))))))</f>
        <v/>
      </c>
      <c r="P18" s="18" t="str">
        <f aca="false">IF(COUNTIFS($B$9:$B$208,P$9,$D$9:$D$208,"&lt;"&amp;($K18+1/24-1/1440),$E$9:$E$208,"&gt;"&amp;($K18+1/1440))=0,"",IF(COUNTIFS($B$9:$B$208,P$9,$D$9:$D$208,"&lt;"&amp;($K18+1/24-1/1440),$E$9:$E$208,"&gt;"&amp;($K18+1/1440))&gt;1,"CONFLICT",INDEX($A$9:$A$208,SUMPRODUCT(MAX(($B$9:$B$208=P$9)*($D$9:$D$208&lt;$K18+1/24-1/1440)*($E$9:$E$208&gt;$K18+1/1440)*(ROW($B$9:$B$208)-8))))))</f>
        <v/>
      </c>
      <c r="Q18" s="18" t="str">
        <f aca="false">IF(COUNTIFS($B$9:$B$208,Q$9,$D$9:$D$208,"&lt;"&amp;($K18+1/24-1/1440),$E$9:$E$208,"&gt;"&amp;($K18+1/1440))=0,"",IF(COUNTIFS($B$9:$B$208,Q$9,$D$9:$D$208,"&lt;"&amp;($K18+1/24-1/1440),$E$9:$E$208,"&gt;"&amp;($K18+1/1440))&gt;1,"CONFLICT",INDEX($A$9:$A$208,SUMPRODUCT(MAX(($B$9:$B$208=Q$9)*($D$9:$D$208&lt;$K18+1/24-1/1440)*($E$9:$E$208&gt;$K18+1/1440)*(ROW($B$9:$B$208)-8))))))</f>
        <v/>
      </c>
      <c r="R18" s="18" t="str">
        <f aca="false">IF(COUNTIFS($B$9:$B$208,R$9,$D$9:$D$208,"&lt;"&amp;($K18+1/24-1/1440),$E$9:$E$208,"&gt;"&amp;($K18+1/1440))=0,"",IF(COUNTIFS($B$9:$B$208,R$9,$D$9:$D$208,"&lt;"&amp;($K18+1/24-1/1440),$E$9:$E$208,"&gt;"&amp;($K18+1/1440))&gt;1,"CONFLICT",INDEX($A$9:$A$208,SUMPRODUCT(MAX(($B$9:$B$208=R$9)*($D$9:$D$208&lt;$K18+1/24-1/1440)*($E$9:$E$208&gt;$K18+1/1440)*(ROW($B$9:$B$208)-8))))))</f>
        <v/>
      </c>
    </row>
    <row r="19" customFormat="false" ht="15" hidden="false" customHeight="false" outlineLevel="0" collapsed="false">
      <c r="A19" s="9"/>
      <c r="B19" s="10"/>
      <c r="C19" s="11" t="str">
        <f aca="false">IF(B19="","",CHOOSE(WEEKDAY(B19),"Sun","Mon","Tue","Wed","Thu","Fri","Sat"))</f>
        <v/>
      </c>
      <c r="D19" s="12"/>
      <c r="E19" s="12"/>
      <c r="F19" s="13" t="str">
        <f aca="false">IF(OR(D19="",E19=""),"",IF(E19&gt;D19,(E19-D19)*24,""))</f>
        <v/>
      </c>
      <c r="G19" s="9"/>
      <c r="H19" s="11" t="str">
        <f aca="false">IF(OR(A19="",B19="",D19="",E19=""),"",IF(E19&lt;=D19,"End before start",IF(COUNTIFS($B$9:$B$208,B19,$D$9:$D$208,"&lt;"&amp;(E19-1/1440),$E$9:$E$208,"&gt;"&amp;(D19+1/1440))&gt;1,"CONFLICT","OK")))</f>
        <v/>
      </c>
      <c r="K19" s="17" t="n">
        <v>0.666666666666667</v>
      </c>
      <c r="L19" s="18" t="str">
        <f aca="false">IF(COUNTIFS($B$9:$B$208,L$9,$D$9:$D$208,"&lt;"&amp;($K19+1/24-1/1440),$E$9:$E$208,"&gt;"&amp;($K19+1/1440))=0,"",IF(COUNTIFS($B$9:$B$208,L$9,$D$9:$D$208,"&lt;"&amp;($K19+1/24-1/1440),$E$9:$E$208,"&gt;"&amp;($K19+1/1440))&gt;1,"CONFLICT",INDEX($A$9:$A$208,SUMPRODUCT(MAX(($B$9:$B$208=L$9)*($D$9:$D$208&lt;$K19+1/24-1/1440)*($E$9:$E$208&gt;$K19+1/1440)*(ROW($B$9:$B$208)-8))))))</f>
        <v/>
      </c>
      <c r="M19" s="18" t="str">
        <f aca="false">IF(COUNTIFS($B$9:$B$208,M$9,$D$9:$D$208,"&lt;"&amp;($K19+1/24-1/1440),$E$9:$E$208,"&gt;"&amp;($K19+1/1440))=0,"",IF(COUNTIFS($B$9:$B$208,M$9,$D$9:$D$208,"&lt;"&amp;($K19+1/24-1/1440),$E$9:$E$208,"&gt;"&amp;($K19+1/1440))&gt;1,"CONFLICT",INDEX($A$9:$A$208,SUMPRODUCT(MAX(($B$9:$B$208=M$9)*($D$9:$D$208&lt;$K19+1/24-1/1440)*($E$9:$E$208&gt;$K19+1/1440)*(ROW($B$9:$B$208)-8))))))</f>
        <v/>
      </c>
      <c r="N19" s="18" t="str">
        <f aca="false">IF(COUNTIFS($B$9:$B$208,N$9,$D$9:$D$208,"&lt;"&amp;($K19+1/24-1/1440),$E$9:$E$208,"&gt;"&amp;($K19+1/1440))=0,"",IF(COUNTIFS($B$9:$B$208,N$9,$D$9:$D$208,"&lt;"&amp;($K19+1/24-1/1440),$E$9:$E$208,"&gt;"&amp;($K19+1/1440))&gt;1,"CONFLICT",INDEX($A$9:$A$208,SUMPRODUCT(MAX(($B$9:$B$208=N$9)*($D$9:$D$208&lt;$K19+1/24-1/1440)*($E$9:$E$208&gt;$K19+1/1440)*(ROW($B$9:$B$208)-8))))))</f>
        <v/>
      </c>
      <c r="O19" s="18" t="str">
        <f aca="false">IF(COUNTIFS($B$9:$B$208,O$9,$D$9:$D$208,"&lt;"&amp;($K19+1/24-1/1440),$E$9:$E$208,"&gt;"&amp;($K19+1/1440))=0,"",IF(COUNTIFS($B$9:$B$208,O$9,$D$9:$D$208,"&lt;"&amp;($K19+1/24-1/1440),$E$9:$E$208,"&gt;"&amp;($K19+1/1440))&gt;1,"CONFLICT",INDEX($A$9:$A$208,SUMPRODUCT(MAX(($B$9:$B$208=O$9)*($D$9:$D$208&lt;$K19+1/24-1/1440)*($E$9:$E$208&gt;$K19+1/1440)*(ROW($B$9:$B$208)-8))))))</f>
        <v/>
      </c>
      <c r="P19" s="18" t="str">
        <f aca="false">IF(COUNTIFS($B$9:$B$208,P$9,$D$9:$D$208,"&lt;"&amp;($K19+1/24-1/1440),$E$9:$E$208,"&gt;"&amp;($K19+1/1440))=0,"",IF(COUNTIFS($B$9:$B$208,P$9,$D$9:$D$208,"&lt;"&amp;($K19+1/24-1/1440),$E$9:$E$208,"&gt;"&amp;($K19+1/1440))&gt;1,"CONFLICT",INDEX($A$9:$A$208,SUMPRODUCT(MAX(($B$9:$B$208=P$9)*($D$9:$D$208&lt;$K19+1/24-1/1440)*($E$9:$E$208&gt;$K19+1/1440)*(ROW($B$9:$B$208)-8))))))</f>
        <v/>
      </c>
      <c r="Q19" s="18" t="str">
        <f aca="false">IF(COUNTIFS($B$9:$B$208,Q$9,$D$9:$D$208,"&lt;"&amp;($K19+1/24-1/1440),$E$9:$E$208,"&gt;"&amp;($K19+1/1440))=0,"",IF(COUNTIFS($B$9:$B$208,Q$9,$D$9:$D$208,"&lt;"&amp;($K19+1/24-1/1440),$E$9:$E$208,"&gt;"&amp;($K19+1/1440))&gt;1,"CONFLICT",INDEX($A$9:$A$208,SUMPRODUCT(MAX(($B$9:$B$208=Q$9)*($D$9:$D$208&lt;$K19+1/24-1/1440)*($E$9:$E$208&gt;$K19+1/1440)*(ROW($B$9:$B$208)-8))))))</f>
        <v/>
      </c>
      <c r="R19" s="18" t="str">
        <f aca="false">IF(COUNTIFS($B$9:$B$208,R$9,$D$9:$D$208,"&lt;"&amp;($K19+1/24-1/1440),$E$9:$E$208,"&gt;"&amp;($K19+1/1440))=0,"",IF(COUNTIFS($B$9:$B$208,R$9,$D$9:$D$208,"&lt;"&amp;($K19+1/24-1/1440),$E$9:$E$208,"&gt;"&amp;($K19+1/1440))&gt;1,"CONFLICT",INDEX($A$9:$A$208,SUMPRODUCT(MAX(($B$9:$B$208=R$9)*($D$9:$D$208&lt;$K19+1/24-1/1440)*($E$9:$E$208&gt;$K19+1/1440)*(ROW($B$9:$B$208)-8))))))</f>
        <v/>
      </c>
    </row>
    <row r="20" customFormat="false" ht="15" hidden="false" customHeight="false" outlineLevel="0" collapsed="false">
      <c r="A20" s="9"/>
      <c r="B20" s="10"/>
      <c r="C20" s="11" t="str">
        <f aca="false">IF(B20="","",CHOOSE(WEEKDAY(B20),"Sun","Mon","Tue","Wed","Thu","Fri","Sat"))</f>
        <v/>
      </c>
      <c r="D20" s="12"/>
      <c r="E20" s="12"/>
      <c r="F20" s="13" t="str">
        <f aca="false">IF(OR(D20="",E20=""),"",IF(E20&gt;D20,(E20-D20)*24,""))</f>
        <v/>
      </c>
      <c r="G20" s="9"/>
      <c r="H20" s="11" t="str">
        <f aca="false">IF(OR(A20="",B20="",D20="",E20=""),"",IF(E20&lt;=D20,"End before start",IF(COUNTIFS($B$9:$B$208,B20,$D$9:$D$208,"&lt;"&amp;(E20-1/1440),$E$9:$E$208,"&gt;"&amp;(D20+1/1440))&gt;1,"CONFLICT","OK")))</f>
        <v/>
      </c>
      <c r="K20" s="17" t="n">
        <v>0.708333333333333</v>
      </c>
      <c r="L20" s="18" t="str">
        <f aca="false">IF(COUNTIFS($B$9:$B$208,L$9,$D$9:$D$208,"&lt;"&amp;($K20+1/24-1/1440),$E$9:$E$208,"&gt;"&amp;($K20+1/1440))=0,"",IF(COUNTIFS($B$9:$B$208,L$9,$D$9:$D$208,"&lt;"&amp;($K20+1/24-1/1440),$E$9:$E$208,"&gt;"&amp;($K20+1/1440))&gt;1,"CONFLICT",INDEX($A$9:$A$208,SUMPRODUCT(MAX(($B$9:$B$208=L$9)*($D$9:$D$208&lt;$K20+1/24-1/1440)*($E$9:$E$208&gt;$K20+1/1440)*(ROW($B$9:$B$208)-8))))))</f>
        <v/>
      </c>
      <c r="M20" s="18" t="str">
        <f aca="false">IF(COUNTIFS($B$9:$B$208,M$9,$D$9:$D$208,"&lt;"&amp;($K20+1/24-1/1440),$E$9:$E$208,"&gt;"&amp;($K20+1/1440))=0,"",IF(COUNTIFS($B$9:$B$208,M$9,$D$9:$D$208,"&lt;"&amp;($K20+1/24-1/1440),$E$9:$E$208,"&gt;"&amp;($K20+1/1440))&gt;1,"CONFLICT",INDEX($A$9:$A$208,SUMPRODUCT(MAX(($B$9:$B$208=M$9)*($D$9:$D$208&lt;$K20+1/24-1/1440)*($E$9:$E$208&gt;$K20+1/1440)*(ROW($B$9:$B$208)-8))))))</f>
        <v/>
      </c>
      <c r="N20" s="18" t="str">
        <f aca="false">IF(COUNTIFS($B$9:$B$208,N$9,$D$9:$D$208,"&lt;"&amp;($K20+1/24-1/1440),$E$9:$E$208,"&gt;"&amp;($K20+1/1440))=0,"",IF(COUNTIFS($B$9:$B$208,N$9,$D$9:$D$208,"&lt;"&amp;($K20+1/24-1/1440),$E$9:$E$208,"&gt;"&amp;($K20+1/1440))&gt;1,"CONFLICT",INDEX($A$9:$A$208,SUMPRODUCT(MAX(($B$9:$B$208=N$9)*($D$9:$D$208&lt;$K20+1/24-1/1440)*($E$9:$E$208&gt;$K20+1/1440)*(ROW($B$9:$B$208)-8))))))</f>
        <v/>
      </c>
      <c r="O20" s="18" t="str">
        <f aca="false">IF(COUNTIFS($B$9:$B$208,O$9,$D$9:$D$208,"&lt;"&amp;($K20+1/24-1/1440),$E$9:$E$208,"&gt;"&amp;($K20+1/1440))=0,"",IF(COUNTIFS($B$9:$B$208,O$9,$D$9:$D$208,"&lt;"&amp;($K20+1/24-1/1440),$E$9:$E$208,"&gt;"&amp;($K20+1/1440))&gt;1,"CONFLICT",INDEX($A$9:$A$208,SUMPRODUCT(MAX(($B$9:$B$208=O$9)*($D$9:$D$208&lt;$K20+1/24-1/1440)*($E$9:$E$208&gt;$K20+1/1440)*(ROW($B$9:$B$208)-8))))))</f>
        <v/>
      </c>
      <c r="P20" s="18" t="str">
        <f aca="false">IF(COUNTIFS($B$9:$B$208,P$9,$D$9:$D$208,"&lt;"&amp;($K20+1/24-1/1440),$E$9:$E$208,"&gt;"&amp;($K20+1/1440))=0,"",IF(COUNTIFS($B$9:$B$208,P$9,$D$9:$D$208,"&lt;"&amp;($K20+1/24-1/1440),$E$9:$E$208,"&gt;"&amp;($K20+1/1440))&gt;1,"CONFLICT",INDEX($A$9:$A$208,SUMPRODUCT(MAX(($B$9:$B$208=P$9)*($D$9:$D$208&lt;$K20+1/24-1/1440)*($E$9:$E$208&gt;$K20+1/1440)*(ROW($B$9:$B$208)-8))))))</f>
        <v/>
      </c>
      <c r="Q20" s="18" t="str">
        <f aca="false">IF(COUNTIFS($B$9:$B$208,Q$9,$D$9:$D$208,"&lt;"&amp;($K20+1/24-1/1440),$E$9:$E$208,"&gt;"&amp;($K20+1/1440))=0,"",IF(COUNTIFS($B$9:$B$208,Q$9,$D$9:$D$208,"&lt;"&amp;($K20+1/24-1/1440),$E$9:$E$208,"&gt;"&amp;($K20+1/1440))&gt;1,"CONFLICT",INDEX($A$9:$A$208,SUMPRODUCT(MAX(($B$9:$B$208=Q$9)*($D$9:$D$208&lt;$K20+1/24-1/1440)*($E$9:$E$208&gt;$K20+1/1440)*(ROW($B$9:$B$208)-8))))))</f>
        <v/>
      </c>
      <c r="R20" s="18" t="str">
        <f aca="false">IF(COUNTIFS($B$9:$B$208,R$9,$D$9:$D$208,"&lt;"&amp;($K20+1/24-1/1440),$E$9:$E$208,"&gt;"&amp;($K20+1/1440))=0,"",IF(COUNTIFS($B$9:$B$208,R$9,$D$9:$D$208,"&lt;"&amp;($K20+1/24-1/1440),$E$9:$E$208,"&gt;"&amp;($K20+1/1440))&gt;1,"CONFLICT",INDEX($A$9:$A$208,SUMPRODUCT(MAX(($B$9:$B$208=R$9)*($D$9:$D$208&lt;$K20+1/24-1/1440)*($E$9:$E$208&gt;$K20+1/1440)*(ROW($B$9:$B$208)-8))))))</f>
        <v/>
      </c>
    </row>
    <row r="21" customFormat="false" ht="15" hidden="false" customHeight="false" outlineLevel="0" collapsed="false">
      <c r="A21" s="9"/>
      <c r="B21" s="10"/>
      <c r="C21" s="11" t="str">
        <f aca="false">IF(B21="","",CHOOSE(WEEKDAY(B21),"Sun","Mon","Tue","Wed","Thu","Fri","Sat"))</f>
        <v/>
      </c>
      <c r="D21" s="12"/>
      <c r="E21" s="12"/>
      <c r="F21" s="13" t="str">
        <f aca="false">IF(OR(D21="",E21=""),"",IF(E21&gt;D21,(E21-D21)*24,""))</f>
        <v/>
      </c>
      <c r="G21" s="9"/>
      <c r="H21" s="11" t="str">
        <f aca="false">IF(OR(A21="",B21="",D21="",E21=""),"",IF(E21&lt;=D21,"End before start",IF(COUNTIFS($B$9:$B$208,B21,$D$9:$D$208,"&lt;"&amp;(E21-1/1440),$E$9:$E$208,"&gt;"&amp;(D21+1/1440))&gt;1,"CONFLICT","OK")))</f>
        <v/>
      </c>
      <c r="K21" s="17" t="n">
        <v>0.75</v>
      </c>
      <c r="L21" s="18" t="str">
        <f aca="false">IF(COUNTIFS($B$9:$B$208,L$9,$D$9:$D$208,"&lt;"&amp;($K21+1/24-1/1440),$E$9:$E$208,"&gt;"&amp;($K21+1/1440))=0,"",IF(COUNTIFS($B$9:$B$208,L$9,$D$9:$D$208,"&lt;"&amp;($K21+1/24-1/1440),$E$9:$E$208,"&gt;"&amp;($K21+1/1440))&gt;1,"CONFLICT",INDEX($A$9:$A$208,SUMPRODUCT(MAX(($B$9:$B$208=L$9)*($D$9:$D$208&lt;$K21+1/24-1/1440)*($E$9:$E$208&gt;$K21+1/1440)*(ROW($B$9:$B$208)-8))))))</f>
        <v/>
      </c>
      <c r="M21" s="18" t="str">
        <f aca="false">IF(COUNTIFS($B$9:$B$208,M$9,$D$9:$D$208,"&lt;"&amp;($K21+1/24-1/1440),$E$9:$E$208,"&gt;"&amp;($K21+1/1440))=0,"",IF(COUNTIFS($B$9:$B$208,M$9,$D$9:$D$208,"&lt;"&amp;($K21+1/24-1/1440),$E$9:$E$208,"&gt;"&amp;($K21+1/1440))&gt;1,"CONFLICT",INDEX($A$9:$A$208,SUMPRODUCT(MAX(($B$9:$B$208=M$9)*($D$9:$D$208&lt;$K21+1/24-1/1440)*($E$9:$E$208&gt;$K21+1/1440)*(ROW($B$9:$B$208)-8))))))</f>
        <v/>
      </c>
      <c r="N21" s="18" t="str">
        <f aca="false">IF(COUNTIFS($B$9:$B$208,N$9,$D$9:$D$208,"&lt;"&amp;($K21+1/24-1/1440),$E$9:$E$208,"&gt;"&amp;($K21+1/1440))=0,"",IF(COUNTIFS($B$9:$B$208,N$9,$D$9:$D$208,"&lt;"&amp;($K21+1/24-1/1440),$E$9:$E$208,"&gt;"&amp;($K21+1/1440))&gt;1,"CONFLICT",INDEX($A$9:$A$208,SUMPRODUCT(MAX(($B$9:$B$208=N$9)*($D$9:$D$208&lt;$K21+1/24-1/1440)*($E$9:$E$208&gt;$K21+1/1440)*(ROW($B$9:$B$208)-8))))))</f>
        <v/>
      </c>
      <c r="O21" s="18" t="str">
        <f aca="false">IF(COUNTIFS($B$9:$B$208,O$9,$D$9:$D$208,"&lt;"&amp;($K21+1/24-1/1440),$E$9:$E$208,"&gt;"&amp;($K21+1/1440))=0,"",IF(COUNTIFS($B$9:$B$208,O$9,$D$9:$D$208,"&lt;"&amp;($K21+1/24-1/1440),$E$9:$E$208,"&gt;"&amp;($K21+1/1440))&gt;1,"CONFLICT",INDEX($A$9:$A$208,SUMPRODUCT(MAX(($B$9:$B$208=O$9)*($D$9:$D$208&lt;$K21+1/24-1/1440)*($E$9:$E$208&gt;$K21+1/1440)*(ROW($B$9:$B$208)-8))))))</f>
        <v/>
      </c>
      <c r="P21" s="18" t="str">
        <f aca="false">IF(COUNTIFS($B$9:$B$208,P$9,$D$9:$D$208,"&lt;"&amp;($K21+1/24-1/1440),$E$9:$E$208,"&gt;"&amp;($K21+1/1440))=0,"",IF(COUNTIFS($B$9:$B$208,P$9,$D$9:$D$208,"&lt;"&amp;($K21+1/24-1/1440),$E$9:$E$208,"&gt;"&amp;($K21+1/1440))&gt;1,"CONFLICT",INDEX($A$9:$A$208,SUMPRODUCT(MAX(($B$9:$B$208=P$9)*($D$9:$D$208&lt;$K21+1/24-1/1440)*($E$9:$E$208&gt;$K21+1/1440)*(ROW($B$9:$B$208)-8))))))</f>
        <v/>
      </c>
      <c r="Q21" s="18" t="str">
        <f aca="false">IF(COUNTIFS($B$9:$B$208,Q$9,$D$9:$D$208,"&lt;"&amp;($K21+1/24-1/1440),$E$9:$E$208,"&gt;"&amp;($K21+1/1440))=0,"",IF(COUNTIFS($B$9:$B$208,Q$9,$D$9:$D$208,"&lt;"&amp;($K21+1/24-1/1440),$E$9:$E$208,"&gt;"&amp;($K21+1/1440))&gt;1,"CONFLICT",INDEX($A$9:$A$208,SUMPRODUCT(MAX(($B$9:$B$208=Q$9)*($D$9:$D$208&lt;$K21+1/24-1/1440)*($E$9:$E$208&gt;$K21+1/1440)*(ROW($B$9:$B$208)-8))))))</f>
        <v/>
      </c>
      <c r="R21" s="18" t="str">
        <f aca="false">IF(COUNTIFS($B$9:$B$208,R$9,$D$9:$D$208,"&lt;"&amp;($K21+1/24-1/1440),$E$9:$E$208,"&gt;"&amp;($K21+1/1440))=0,"",IF(COUNTIFS($B$9:$B$208,R$9,$D$9:$D$208,"&lt;"&amp;($K21+1/24-1/1440),$E$9:$E$208,"&gt;"&amp;($K21+1/1440))&gt;1,"CONFLICT",INDEX($A$9:$A$208,SUMPRODUCT(MAX(($B$9:$B$208=R$9)*($D$9:$D$208&lt;$K21+1/24-1/1440)*($E$9:$E$208&gt;$K21+1/1440)*(ROW($B$9:$B$208)-8))))))</f>
        <v/>
      </c>
    </row>
    <row r="22" customFormat="false" ht="15" hidden="false" customHeight="false" outlineLevel="0" collapsed="false">
      <c r="A22" s="9"/>
      <c r="B22" s="10"/>
      <c r="C22" s="11" t="str">
        <f aca="false">IF(B22="","",CHOOSE(WEEKDAY(B22),"Sun","Mon","Tue","Wed","Thu","Fri","Sat"))</f>
        <v/>
      </c>
      <c r="D22" s="12"/>
      <c r="E22" s="12"/>
      <c r="F22" s="13" t="str">
        <f aca="false">IF(OR(D22="",E22=""),"",IF(E22&gt;D22,(E22-D22)*24,""))</f>
        <v/>
      </c>
      <c r="G22" s="9"/>
      <c r="H22" s="11" t="str">
        <f aca="false">IF(OR(A22="",B22="",D22="",E22=""),"",IF(E22&lt;=D22,"End before start",IF(COUNTIFS($B$9:$B$208,B22,$D$9:$D$208,"&lt;"&amp;(E22-1/1440),$E$9:$E$208,"&gt;"&amp;(D22+1/1440))&gt;1,"CONFLICT","OK")))</f>
        <v/>
      </c>
      <c r="K22" s="17" t="n">
        <v>0.791666666666667</v>
      </c>
      <c r="L22" s="18" t="str">
        <f aca="false">IF(COUNTIFS($B$9:$B$208,L$9,$D$9:$D$208,"&lt;"&amp;($K22+1/24-1/1440),$E$9:$E$208,"&gt;"&amp;($K22+1/1440))=0,"",IF(COUNTIFS($B$9:$B$208,L$9,$D$9:$D$208,"&lt;"&amp;($K22+1/24-1/1440),$E$9:$E$208,"&gt;"&amp;($K22+1/1440))&gt;1,"CONFLICT",INDEX($A$9:$A$208,SUMPRODUCT(MAX(($B$9:$B$208=L$9)*($D$9:$D$208&lt;$K22+1/24-1/1440)*($E$9:$E$208&gt;$K22+1/1440)*(ROW($B$9:$B$208)-8))))))</f>
        <v/>
      </c>
      <c r="M22" s="18" t="str">
        <f aca="false">IF(COUNTIFS($B$9:$B$208,M$9,$D$9:$D$208,"&lt;"&amp;($K22+1/24-1/1440),$E$9:$E$208,"&gt;"&amp;($K22+1/1440))=0,"",IF(COUNTIFS($B$9:$B$208,M$9,$D$9:$D$208,"&lt;"&amp;($K22+1/24-1/1440),$E$9:$E$208,"&gt;"&amp;($K22+1/1440))&gt;1,"CONFLICT",INDEX($A$9:$A$208,SUMPRODUCT(MAX(($B$9:$B$208=M$9)*($D$9:$D$208&lt;$K22+1/24-1/1440)*($E$9:$E$208&gt;$K22+1/1440)*(ROW($B$9:$B$208)-8))))))</f>
        <v/>
      </c>
      <c r="N22" s="18" t="str">
        <f aca="false">IF(COUNTIFS($B$9:$B$208,N$9,$D$9:$D$208,"&lt;"&amp;($K22+1/24-1/1440),$E$9:$E$208,"&gt;"&amp;($K22+1/1440))=0,"",IF(COUNTIFS($B$9:$B$208,N$9,$D$9:$D$208,"&lt;"&amp;($K22+1/24-1/1440),$E$9:$E$208,"&gt;"&amp;($K22+1/1440))&gt;1,"CONFLICT",INDEX($A$9:$A$208,SUMPRODUCT(MAX(($B$9:$B$208=N$9)*($D$9:$D$208&lt;$K22+1/24-1/1440)*($E$9:$E$208&gt;$K22+1/1440)*(ROW($B$9:$B$208)-8))))))</f>
        <v/>
      </c>
      <c r="O22" s="18" t="str">
        <f aca="false">IF(COUNTIFS($B$9:$B$208,O$9,$D$9:$D$208,"&lt;"&amp;($K22+1/24-1/1440),$E$9:$E$208,"&gt;"&amp;($K22+1/1440))=0,"",IF(COUNTIFS($B$9:$B$208,O$9,$D$9:$D$208,"&lt;"&amp;($K22+1/24-1/1440),$E$9:$E$208,"&gt;"&amp;($K22+1/1440))&gt;1,"CONFLICT",INDEX($A$9:$A$208,SUMPRODUCT(MAX(($B$9:$B$208=O$9)*($D$9:$D$208&lt;$K22+1/24-1/1440)*($E$9:$E$208&gt;$K22+1/1440)*(ROW($B$9:$B$208)-8))))))</f>
        <v/>
      </c>
      <c r="P22" s="18" t="str">
        <f aca="false">IF(COUNTIFS($B$9:$B$208,P$9,$D$9:$D$208,"&lt;"&amp;($K22+1/24-1/1440),$E$9:$E$208,"&gt;"&amp;($K22+1/1440))=0,"",IF(COUNTIFS($B$9:$B$208,P$9,$D$9:$D$208,"&lt;"&amp;($K22+1/24-1/1440),$E$9:$E$208,"&gt;"&amp;($K22+1/1440))&gt;1,"CONFLICT",INDEX($A$9:$A$208,SUMPRODUCT(MAX(($B$9:$B$208=P$9)*($D$9:$D$208&lt;$K22+1/24-1/1440)*($E$9:$E$208&gt;$K22+1/1440)*(ROW($B$9:$B$208)-8))))))</f>
        <v/>
      </c>
      <c r="Q22" s="18" t="str">
        <f aca="false">IF(COUNTIFS($B$9:$B$208,Q$9,$D$9:$D$208,"&lt;"&amp;($K22+1/24-1/1440),$E$9:$E$208,"&gt;"&amp;($K22+1/1440))=0,"",IF(COUNTIFS($B$9:$B$208,Q$9,$D$9:$D$208,"&lt;"&amp;($K22+1/24-1/1440),$E$9:$E$208,"&gt;"&amp;($K22+1/1440))&gt;1,"CONFLICT",INDEX($A$9:$A$208,SUMPRODUCT(MAX(($B$9:$B$208=Q$9)*($D$9:$D$208&lt;$K22+1/24-1/1440)*($E$9:$E$208&gt;$K22+1/1440)*(ROW($B$9:$B$208)-8))))))</f>
        <v/>
      </c>
      <c r="R22" s="18" t="str">
        <f aca="false">IF(COUNTIFS($B$9:$B$208,R$9,$D$9:$D$208,"&lt;"&amp;($K22+1/24-1/1440),$E$9:$E$208,"&gt;"&amp;($K22+1/1440))=0,"",IF(COUNTIFS($B$9:$B$208,R$9,$D$9:$D$208,"&lt;"&amp;($K22+1/24-1/1440),$E$9:$E$208,"&gt;"&amp;($K22+1/1440))&gt;1,"CONFLICT",INDEX($A$9:$A$208,SUMPRODUCT(MAX(($B$9:$B$208=R$9)*($D$9:$D$208&lt;$K22+1/24-1/1440)*($E$9:$E$208&gt;$K22+1/1440)*(ROW($B$9:$B$208)-8))))))</f>
        <v/>
      </c>
    </row>
    <row r="23" customFormat="false" ht="15" hidden="false" customHeight="false" outlineLevel="0" collapsed="false">
      <c r="A23" s="9"/>
      <c r="B23" s="10"/>
      <c r="C23" s="11" t="str">
        <f aca="false">IF(B23="","",CHOOSE(WEEKDAY(B23),"Sun","Mon","Tue","Wed","Thu","Fri","Sat"))</f>
        <v/>
      </c>
      <c r="D23" s="12"/>
      <c r="E23" s="12"/>
      <c r="F23" s="13" t="str">
        <f aca="false">IF(OR(D23="",E23=""),"",IF(E23&gt;D23,(E23-D23)*24,""))</f>
        <v/>
      </c>
      <c r="G23" s="9"/>
      <c r="H23" s="11" t="str">
        <f aca="false">IF(OR(A23="",B23="",D23="",E23=""),"",IF(E23&lt;=D23,"End before start",IF(COUNTIFS($B$9:$B$208,B23,$D$9:$D$208,"&lt;"&amp;(E23-1/1440),$E$9:$E$208,"&gt;"&amp;(D23+1/1440))&gt;1,"CONFLICT","OK")))</f>
        <v/>
      </c>
      <c r="K23" s="17" t="n">
        <v>0.833333333333333</v>
      </c>
      <c r="L23" s="18" t="str">
        <f aca="false">IF(COUNTIFS($B$9:$B$208,L$9,$D$9:$D$208,"&lt;"&amp;($K23+1/24-1/1440),$E$9:$E$208,"&gt;"&amp;($K23+1/1440))=0,"",IF(COUNTIFS($B$9:$B$208,L$9,$D$9:$D$208,"&lt;"&amp;($K23+1/24-1/1440),$E$9:$E$208,"&gt;"&amp;($K23+1/1440))&gt;1,"CONFLICT",INDEX($A$9:$A$208,SUMPRODUCT(MAX(($B$9:$B$208=L$9)*($D$9:$D$208&lt;$K23+1/24-1/1440)*($E$9:$E$208&gt;$K23+1/1440)*(ROW($B$9:$B$208)-8))))))</f>
        <v/>
      </c>
      <c r="M23" s="18" t="str">
        <f aca="false">IF(COUNTIFS($B$9:$B$208,M$9,$D$9:$D$208,"&lt;"&amp;($K23+1/24-1/1440),$E$9:$E$208,"&gt;"&amp;($K23+1/1440))=0,"",IF(COUNTIFS($B$9:$B$208,M$9,$D$9:$D$208,"&lt;"&amp;($K23+1/24-1/1440),$E$9:$E$208,"&gt;"&amp;($K23+1/1440))&gt;1,"CONFLICT",INDEX($A$9:$A$208,SUMPRODUCT(MAX(($B$9:$B$208=M$9)*($D$9:$D$208&lt;$K23+1/24-1/1440)*($E$9:$E$208&gt;$K23+1/1440)*(ROW($B$9:$B$208)-8))))))</f>
        <v/>
      </c>
      <c r="N23" s="18" t="str">
        <f aca="false">IF(COUNTIFS($B$9:$B$208,N$9,$D$9:$D$208,"&lt;"&amp;($K23+1/24-1/1440),$E$9:$E$208,"&gt;"&amp;($K23+1/1440))=0,"",IF(COUNTIFS($B$9:$B$208,N$9,$D$9:$D$208,"&lt;"&amp;($K23+1/24-1/1440),$E$9:$E$208,"&gt;"&amp;($K23+1/1440))&gt;1,"CONFLICT",INDEX($A$9:$A$208,SUMPRODUCT(MAX(($B$9:$B$208=N$9)*($D$9:$D$208&lt;$K23+1/24-1/1440)*($E$9:$E$208&gt;$K23+1/1440)*(ROW($B$9:$B$208)-8))))))</f>
        <v/>
      </c>
      <c r="O23" s="18" t="str">
        <f aca="false">IF(COUNTIFS($B$9:$B$208,O$9,$D$9:$D$208,"&lt;"&amp;($K23+1/24-1/1440),$E$9:$E$208,"&gt;"&amp;($K23+1/1440))=0,"",IF(COUNTIFS($B$9:$B$208,O$9,$D$9:$D$208,"&lt;"&amp;($K23+1/24-1/1440),$E$9:$E$208,"&gt;"&amp;($K23+1/1440))&gt;1,"CONFLICT",INDEX($A$9:$A$208,SUMPRODUCT(MAX(($B$9:$B$208=O$9)*($D$9:$D$208&lt;$K23+1/24-1/1440)*($E$9:$E$208&gt;$K23+1/1440)*(ROW($B$9:$B$208)-8))))))</f>
        <v/>
      </c>
      <c r="P23" s="18" t="str">
        <f aca="false">IF(COUNTIFS($B$9:$B$208,P$9,$D$9:$D$208,"&lt;"&amp;($K23+1/24-1/1440),$E$9:$E$208,"&gt;"&amp;($K23+1/1440))=0,"",IF(COUNTIFS($B$9:$B$208,P$9,$D$9:$D$208,"&lt;"&amp;($K23+1/24-1/1440),$E$9:$E$208,"&gt;"&amp;($K23+1/1440))&gt;1,"CONFLICT",INDEX($A$9:$A$208,SUMPRODUCT(MAX(($B$9:$B$208=P$9)*($D$9:$D$208&lt;$K23+1/24-1/1440)*($E$9:$E$208&gt;$K23+1/1440)*(ROW($B$9:$B$208)-8))))))</f>
        <v/>
      </c>
      <c r="Q23" s="18" t="str">
        <f aca="false">IF(COUNTIFS($B$9:$B$208,Q$9,$D$9:$D$208,"&lt;"&amp;($K23+1/24-1/1440),$E$9:$E$208,"&gt;"&amp;($K23+1/1440))=0,"",IF(COUNTIFS($B$9:$B$208,Q$9,$D$9:$D$208,"&lt;"&amp;($K23+1/24-1/1440),$E$9:$E$208,"&gt;"&amp;($K23+1/1440))&gt;1,"CONFLICT",INDEX($A$9:$A$208,SUMPRODUCT(MAX(($B$9:$B$208=Q$9)*($D$9:$D$208&lt;$K23+1/24-1/1440)*($E$9:$E$208&gt;$K23+1/1440)*(ROW($B$9:$B$208)-8))))))</f>
        <v/>
      </c>
      <c r="R23" s="18" t="str">
        <f aca="false">IF(COUNTIFS($B$9:$B$208,R$9,$D$9:$D$208,"&lt;"&amp;($K23+1/24-1/1440),$E$9:$E$208,"&gt;"&amp;($K23+1/1440))=0,"",IF(COUNTIFS($B$9:$B$208,R$9,$D$9:$D$208,"&lt;"&amp;($K23+1/24-1/1440),$E$9:$E$208,"&gt;"&amp;($K23+1/1440))&gt;1,"CONFLICT",INDEX($A$9:$A$208,SUMPRODUCT(MAX(($B$9:$B$208=R$9)*($D$9:$D$208&lt;$K23+1/24-1/1440)*($E$9:$E$208&gt;$K23+1/1440)*(ROW($B$9:$B$208)-8))))))</f>
        <v/>
      </c>
    </row>
    <row r="24" customFormat="false" ht="15" hidden="false" customHeight="false" outlineLevel="0" collapsed="false">
      <c r="A24" s="9"/>
      <c r="B24" s="10"/>
      <c r="C24" s="11" t="str">
        <f aca="false">IF(B24="","",CHOOSE(WEEKDAY(B24),"Sun","Mon","Tue","Wed","Thu","Fri","Sat"))</f>
        <v/>
      </c>
      <c r="D24" s="12"/>
      <c r="E24" s="12"/>
      <c r="F24" s="13" t="str">
        <f aca="false">IF(OR(D24="",E24=""),"",IF(E24&gt;D24,(E24-D24)*24,""))</f>
        <v/>
      </c>
      <c r="G24" s="9"/>
      <c r="H24" s="11" t="str">
        <f aca="false">IF(OR(A24="",B24="",D24="",E24=""),"",IF(E24&lt;=D24,"End before start",IF(COUNTIFS($B$9:$B$208,B24,$D$9:$D$208,"&lt;"&amp;(E24-1/1440),$E$9:$E$208,"&gt;"&amp;(D24+1/1440))&gt;1,"CONFLICT","OK")))</f>
        <v/>
      </c>
      <c r="K24" s="17" t="n">
        <v>0.875</v>
      </c>
      <c r="L24" s="18" t="str">
        <f aca="false">IF(COUNTIFS($B$9:$B$208,L$9,$D$9:$D$208,"&lt;"&amp;($K24+1/24-1/1440),$E$9:$E$208,"&gt;"&amp;($K24+1/1440))=0,"",IF(COUNTIFS($B$9:$B$208,L$9,$D$9:$D$208,"&lt;"&amp;($K24+1/24-1/1440),$E$9:$E$208,"&gt;"&amp;($K24+1/1440))&gt;1,"CONFLICT",INDEX($A$9:$A$208,SUMPRODUCT(MAX(($B$9:$B$208=L$9)*($D$9:$D$208&lt;$K24+1/24-1/1440)*($E$9:$E$208&gt;$K24+1/1440)*(ROW($B$9:$B$208)-8))))))</f>
        <v/>
      </c>
      <c r="M24" s="18" t="str">
        <f aca="false">IF(COUNTIFS($B$9:$B$208,M$9,$D$9:$D$208,"&lt;"&amp;($K24+1/24-1/1440),$E$9:$E$208,"&gt;"&amp;($K24+1/1440))=0,"",IF(COUNTIFS($B$9:$B$208,M$9,$D$9:$D$208,"&lt;"&amp;($K24+1/24-1/1440),$E$9:$E$208,"&gt;"&amp;($K24+1/1440))&gt;1,"CONFLICT",INDEX($A$9:$A$208,SUMPRODUCT(MAX(($B$9:$B$208=M$9)*($D$9:$D$208&lt;$K24+1/24-1/1440)*($E$9:$E$208&gt;$K24+1/1440)*(ROW($B$9:$B$208)-8))))))</f>
        <v/>
      </c>
      <c r="N24" s="18" t="str">
        <f aca="false">IF(COUNTIFS($B$9:$B$208,N$9,$D$9:$D$208,"&lt;"&amp;($K24+1/24-1/1440),$E$9:$E$208,"&gt;"&amp;($K24+1/1440))=0,"",IF(COUNTIFS($B$9:$B$208,N$9,$D$9:$D$208,"&lt;"&amp;($K24+1/24-1/1440),$E$9:$E$208,"&gt;"&amp;($K24+1/1440))&gt;1,"CONFLICT",INDEX($A$9:$A$208,SUMPRODUCT(MAX(($B$9:$B$208=N$9)*($D$9:$D$208&lt;$K24+1/24-1/1440)*($E$9:$E$208&gt;$K24+1/1440)*(ROW($B$9:$B$208)-8))))))</f>
        <v/>
      </c>
      <c r="O24" s="18" t="str">
        <f aca="false">IF(COUNTIFS($B$9:$B$208,O$9,$D$9:$D$208,"&lt;"&amp;($K24+1/24-1/1440),$E$9:$E$208,"&gt;"&amp;($K24+1/1440))=0,"",IF(COUNTIFS($B$9:$B$208,O$9,$D$9:$D$208,"&lt;"&amp;($K24+1/24-1/1440),$E$9:$E$208,"&gt;"&amp;($K24+1/1440))&gt;1,"CONFLICT",INDEX($A$9:$A$208,SUMPRODUCT(MAX(($B$9:$B$208=O$9)*($D$9:$D$208&lt;$K24+1/24-1/1440)*($E$9:$E$208&gt;$K24+1/1440)*(ROW($B$9:$B$208)-8))))))</f>
        <v/>
      </c>
      <c r="P24" s="18" t="str">
        <f aca="false">IF(COUNTIFS($B$9:$B$208,P$9,$D$9:$D$208,"&lt;"&amp;($K24+1/24-1/1440),$E$9:$E$208,"&gt;"&amp;($K24+1/1440))=0,"",IF(COUNTIFS($B$9:$B$208,P$9,$D$9:$D$208,"&lt;"&amp;($K24+1/24-1/1440),$E$9:$E$208,"&gt;"&amp;($K24+1/1440))&gt;1,"CONFLICT",INDEX($A$9:$A$208,SUMPRODUCT(MAX(($B$9:$B$208=P$9)*($D$9:$D$208&lt;$K24+1/24-1/1440)*($E$9:$E$208&gt;$K24+1/1440)*(ROW($B$9:$B$208)-8))))))</f>
        <v/>
      </c>
      <c r="Q24" s="18" t="str">
        <f aca="false">IF(COUNTIFS($B$9:$B$208,Q$9,$D$9:$D$208,"&lt;"&amp;($K24+1/24-1/1440),$E$9:$E$208,"&gt;"&amp;($K24+1/1440))=0,"",IF(COUNTIFS($B$9:$B$208,Q$9,$D$9:$D$208,"&lt;"&amp;($K24+1/24-1/1440),$E$9:$E$208,"&gt;"&amp;($K24+1/1440))&gt;1,"CONFLICT",INDEX($A$9:$A$208,SUMPRODUCT(MAX(($B$9:$B$208=Q$9)*($D$9:$D$208&lt;$K24+1/24-1/1440)*($E$9:$E$208&gt;$K24+1/1440)*(ROW($B$9:$B$208)-8))))))</f>
        <v/>
      </c>
      <c r="R24" s="18" t="str">
        <f aca="false">IF(COUNTIFS($B$9:$B$208,R$9,$D$9:$D$208,"&lt;"&amp;($K24+1/24-1/1440),$E$9:$E$208,"&gt;"&amp;($K24+1/1440))=0,"",IF(COUNTIFS($B$9:$B$208,R$9,$D$9:$D$208,"&lt;"&amp;($K24+1/24-1/1440),$E$9:$E$208,"&gt;"&amp;($K24+1/1440))&gt;1,"CONFLICT",INDEX($A$9:$A$208,SUMPRODUCT(MAX(($B$9:$B$208=R$9)*($D$9:$D$208&lt;$K24+1/24-1/1440)*($E$9:$E$208&gt;$K24+1/1440)*(ROW($B$9:$B$208)-8))))))</f>
        <v/>
      </c>
    </row>
    <row r="25" customFormat="false" ht="15" hidden="false" customHeight="false" outlineLevel="0" collapsed="false">
      <c r="A25" s="9"/>
      <c r="B25" s="10"/>
      <c r="C25" s="11" t="str">
        <f aca="false">IF(B25="","",CHOOSE(WEEKDAY(B25),"Sun","Mon","Tue","Wed","Thu","Fri","Sat"))</f>
        <v/>
      </c>
      <c r="D25" s="12"/>
      <c r="E25" s="12"/>
      <c r="F25" s="13" t="str">
        <f aca="false">IF(OR(D25="",E25=""),"",IF(E25&gt;D25,(E25-D25)*24,""))</f>
        <v/>
      </c>
      <c r="G25" s="9"/>
      <c r="H25" s="11" t="str">
        <f aca="false">IF(OR(A25="",B25="",D25="",E25=""),"",IF(E25&lt;=D25,"End before start",IF(COUNTIFS($B$9:$B$208,B25,$D$9:$D$208,"&lt;"&amp;(E25-1/1440),$E$9:$E$208,"&gt;"&amp;(D25+1/1440))&gt;1,"CONFLICT","OK")))</f>
        <v/>
      </c>
      <c r="K25" s="17" t="n">
        <v>0.916666666666667</v>
      </c>
      <c r="L25" s="18" t="str">
        <f aca="false">IF(COUNTIFS($B$9:$B$208,L$9,$D$9:$D$208,"&lt;"&amp;($K25+1/24-1/1440),$E$9:$E$208,"&gt;"&amp;($K25+1/1440))=0,"",IF(COUNTIFS($B$9:$B$208,L$9,$D$9:$D$208,"&lt;"&amp;($K25+1/24-1/1440),$E$9:$E$208,"&gt;"&amp;($K25+1/1440))&gt;1,"CONFLICT",INDEX($A$9:$A$208,SUMPRODUCT(MAX(($B$9:$B$208=L$9)*($D$9:$D$208&lt;$K25+1/24-1/1440)*($E$9:$E$208&gt;$K25+1/1440)*(ROW($B$9:$B$208)-8))))))</f>
        <v/>
      </c>
      <c r="M25" s="18" t="str">
        <f aca="false">IF(COUNTIFS($B$9:$B$208,M$9,$D$9:$D$208,"&lt;"&amp;($K25+1/24-1/1440),$E$9:$E$208,"&gt;"&amp;($K25+1/1440))=0,"",IF(COUNTIFS($B$9:$B$208,M$9,$D$9:$D$208,"&lt;"&amp;($K25+1/24-1/1440),$E$9:$E$208,"&gt;"&amp;($K25+1/1440))&gt;1,"CONFLICT",INDEX($A$9:$A$208,SUMPRODUCT(MAX(($B$9:$B$208=M$9)*($D$9:$D$208&lt;$K25+1/24-1/1440)*($E$9:$E$208&gt;$K25+1/1440)*(ROW($B$9:$B$208)-8))))))</f>
        <v/>
      </c>
      <c r="N25" s="18" t="str">
        <f aca="false">IF(COUNTIFS($B$9:$B$208,N$9,$D$9:$D$208,"&lt;"&amp;($K25+1/24-1/1440),$E$9:$E$208,"&gt;"&amp;($K25+1/1440))=0,"",IF(COUNTIFS($B$9:$B$208,N$9,$D$9:$D$208,"&lt;"&amp;($K25+1/24-1/1440),$E$9:$E$208,"&gt;"&amp;($K25+1/1440))&gt;1,"CONFLICT",INDEX($A$9:$A$208,SUMPRODUCT(MAX(($B$9:$B$208=N$9)*($D$9:$D$208&lt;$K25+1/24-1/1440)*($E$9:$E$208&gt;$K25+1/1440)*(ROW($B$9:$B$208)-8))))))</f>
        <v/>
      </c>
      <c r="O25" s="18" t="str">
        <f aca="false">IF(COUNTIFS($B$9:$B$208,O$9,$D$9:$D$208,"&lt;"&amp;($K25+1/24-1/1440),$E$9:$E$208,"&gt;"&amp;($K25+1/1440))=0,"",IF(COUNTIFS($B$9:$B$208,O$9,$D$9:$D$208,"&lt;"&amp;($K25+1/24-1/1440),$E$9:$E$208,"&gt;"&amp;($K25+1/1440))&gt;1,"CONFLICT",INDEX($A$9:$A$208,SUMPRODUCT(MAX(($B$9:$B$208=O$9)*($D$9:$D$208&lt;$K25+1/24-1/1440)*($E$9:$E$208&gt;$K25+1/1440)*(ROW($B$9:$B$208)-8))))))</f>
        <v/>
      </c>
      <c r="P25" s="18" t="str">
        <f aca="false">IF(COUNTIFS($B$9:$B$208,P$9,$D$9:$D$208,"&lt;"&amp;($K25+1/24-1/1440),$E$9:$E$208,"&gt;"&amp;($K25+1/1440))=0,"",IF(COUNTIFS($B$9:$B$208,P$9,$D$9:$D$208,"&lt;"&amp;($K25+1/24-1/1440),$E$9:$E$208,"&gt;"&amp;($K25+1/1440))&gt;1,"CONFLICT",INDEX($A$9:$A$208,SUMPRODUCT(MAX(($B$9:$B$208=P$9)*($D$9:$D$208&lt;$K25+1/24-1/1440)*($E$9:$E$208&gt;$K25+1/1440)*(ROW($B$9:$B$208)-8))))))</f>
        <v/>
      </c>
      <c r="Q25" s="18" t="str">
        <f aca="false">IF(COUNTIFS($B$9:$B$208,Q$9,$D$9:$D$208,"&lt;"&amp;($K25+1/24-1/1440),$E$9:$E$208,"&gt;"&amp;($K25+1/1440))=0,"",IF(COUNTIFS($B$9:$B$208,Q$9,$D$9:$D$208,"&lt;"&amp;($K25+1/24-1/1440),$E$9:$E$208,"&gt;"&amp;($K25+1/1440))&gt;1,"CONFLICT",INDEX($A$9:$A$208,SUMPRODUCT(MAX(($B$9:$B$208=Q$9)*($D$9:$D$208&lt;$K25+1/24-1/1440)*($E$9:$E$208&gt;$K25+1/1440)*(ROW($B$9:$B$208)-8))))))</f>
        <v/>
      </c>
      <c r="R25" s="18" t="str">
        <f aca="false">IF(COUNTIFS($B$9:$B$208,R$9,$D$9:$D$208,"&lt;"&amp;($K25+1/24-1/1440),$E$9:$E$208,"&gt;"&amp;($K25+1/1440))=0,"",IF(COUNTIFS($B$9:$B$208,R$9,$D$9:$D$208,"&lt;"&amp;($K25+1/24-1/1440),$E$9:$E$208,"&gt;"&amp;($K25+1/1440))&gt;1,"CONFLICT",INDEX($A$9:$A$208,SUMPRODUCT(MAX(($B$9:$B$208=R$9)*($D$9:$D$208&lt;$K25+1/24-1/1440)*($E$9:$E$208&gt;$K25+1/1440)*(ROW($B$9:$B$208)-8))))))</f>
        <v/>
      </c>
    </row>
    <row r="26" customFormat="false" ht="15" hidden="false" customHeight="false" outlineLevel="0" collapsed="false">
      <c r="A26" s="9"/>
      <c r="B26" s="10"/>
      <c r="C26" s="11" t="str">
        <f aca="false">IF(B26="","",CHOOSE(WEEKDAY(B26),"Sun","Mon","Tue","Wed","Thu","Fri","Sat"))</f>
        <v/>
      </c>
      <c r="D26" s="12"/>
      <c r="E26" s="12"/>
      <c r="F26" s="13" t="str">
        <f aca="false">IF(OR(D26="",E26=""),"",IF(E26&gt;D26,(E26-D26)*24,""))</f>
        <v/>
      </c>
      <c r="G26" s="9"/>
      <c r="H26" s="11" t="str">
        <f aca="false">IF(OR(A26="",B26="",D26="",E26=""),"",IF(E26&lt;=D26,"End before start",IF(COUNTIFS($B$9:$B$208,B26,$D$9:$D$208,"&lt;"&amp;(E26-1/1440),$E$9:$E$208,"&gt;"&amp;(D26+1/1440))&gt;1,"CONFLICT","OK")))</f>
        <v/>
      </c>
      <c r="K26" s="17" t="n">
        <v>0.958333333333333</v>
      </c>
      <c r="L26" s="18" t="str">
        <f aca="false">IF(COUNTIFS($B$9:$B$208,L$9,$D$9:$D$208,"&lt;"&amp;($K26+1/24-1/1440),$E$9:$E$208,"&gt;"&amp;($K26+1/1440))=0,"",IF(COUNTIFS($B$9:$B$208,L$9,$D$9:$D$208,"&lt;"&amp;($K26+1/24-1/1440),$E$9:$E$208,"&gt;"&amp;($K26+1/1440))&gt;1,"CONFLICT",INDEX($A$9:$A$208,SUMPRODUCT(MAX(($B$9:$B$208=L$9)*($D$9:$D$208&lt;$K26+1/24-1/1440)*($E$9:$E$208&gt;$K26+1/1440)*(ROW($B$9:$B$208)-8))))))</f>
        <v/>
      </c>
      <c r="M26" s="18" t="str">
        <f aca="false">IF(COUNTIFS($B$9:$B$208,M$9,$D$9:$D$208,"&lt;"&amp;($K26+1/24-1/1440),$E$9:$E$208,"&gt;"&amp;($K26+1/1440))=0,"",IF(COUNTIFS($B$9:$B$208,M$9,$D$9:$D$208,"&lt;"&amp;($K26+1/24-1/1440),$E$9:$E$208,"&gt;"&amp;($K26+1/1440))&gt;1,"CONFLICT",INDEX($A$9:$A$208,SUMPRODUCT(MAX(($B$9:$B$208=M$9)*($D$9:$D$208&lt;$K26+1/24-1/1440)*($E$9:$E$208&gt;$K26+1/1440)*(ROW($B$9:$B$208)-8))))))</f>
        <v/>
      </c>
      <c r="N26" s="18" t="str">
        <f aca="false">IF(COUNTIFS($B$9:$B$208,N$9,$D$9:$D$208,"&lt;"&amp;($K26+1/24-1/1440),$E$9:$E$208,"&gt;"&amp;($K26+1/1440))=0,"",IF(COUNTIFS($B$9:$B$208,N$9,$D$9:$D$208,"&lt;"&amp;($K26+1/24-1/1440),$E$9:$E$208,"&gt;"&amp;($K26+1/1440))&gt;1,"CONFLICT",INDEX($A$9:$A$208,SUMPRODUCT(MAX(($B$9:$B$208=N$9)*($D$9:$D$208&lt;$K26+1/24-1/1440)*($E$9:$E$208&gt;$K26+1/1440)*(ROW($B$9:$B$208)-8))))))</f>
        <v/>
      </c>
      <c r="O26" s="18" t="str">
        <f aca="false">IF(COUNTIFS($B$9:$B$208,O$9,$D$9:$D$208,"&lt;"&amp;($K26+1/24-1/1440),$E$9:$E$208,"&gt;"&amp;($K26+1/1440))=0,"",IF(COUNTIFS($B$9:$B$208,O$9,$D$9:$D$208,"&lt;"&amp;($K26+1/24-1/1440),$E$9:$E$208,"&gt;"&amp;($K26+1/1440))&gt;1,"CONFLICT",INDEX($A$9:$A$208,SUMPRODUCT(MAX(($B$9:$B$208=O$9)*($D$9:$D$208&lt;$K26+1/24-1/1440)*($E$9:$E$208&gt;$K26+1/1440)*(ROW($B$9:$B$208)-8))))))</f>
        <v/>
      </c>
      <c r="P26" s="18" t="str">
        <f aca="false">IF(COUNTIFS($B$9:$B$208,P$9,$D$9:$D$208,"&lt;"&amp;($K26+1/24-1/1440),$E$9:$E$208,"&gt;"&amp;($K26+1/1440))=0,"",IF(COUNTIFS($B$9:$B$208,P$9,$D$9:$D$208,"&lt;"&amp;($K26+1/24-1/1440),$E$9:$E$208,"&gt;"&amp;($K26+1/1440))&gt;1,"CONFLICT",INDEX($A$9:$A$208,SUMPRODUCT(MAX(($B$9:$B$208=P$9)*($D$9:$D$208&lt;$K26+1/24-1/1440)*($E$9:$E$208&gt;$K26+1/1440)*(ROW($B$9:$B$208)-8))))))</f>
        <v/>
      </c>
      <c r="Q26" s="18" t="str">
        <f aca="false">IF(COUNTIFS($B$9:$B$208,Q$9,$D$9:$D$208,"&lt;"&amp;($K26+1/24-1/1440),$E$9:$E$208,"&gt;"&amp;($K26+1/1440))=0,"",IF(COUNTIFS($B$9:$B$208,Q$9,$D$9:$D$208,"&lt;"&amp;($K26+1/24-1/1440),$E$9:$E$208,"&gt;"&amp;($K26+1/1440))&gt;1,"CONFLICT",INDEX($A$9:$A$208,SUMPRODUCT(MAX(($B$9:$B$208=Q$9)*($D$9:$D$208&lt;$K26+1/24-1/1440)*($E$9:$E$208&gt;$K26+1/1440)*(ROW($B$9:$B$208)-8))))))</f>
        <v/>
      </c>
      <c r="R26" s="18" t="str">
        <f aca="false">IF(COUNTIFS($B$9:$B$208,R$9,$D$9:$D$208,"&lt;"&amp;($K26+1/24-1/1440),$E$9:$E$208,"&gt;"&amp;($K26+1/1440))=0,"",IF(COUNTIFS($B$9:$B$208,R$9,$D$9:$D$208,"&lt;"&amp;($K26+1/24-1/1440),$E$9:$E$208,"&gt;"&amp;($K26+1/1440))&gt;1,"CONFLICT",INDEX($A$9:$A$208,SUMPRODUCT(MAX(($B$9:$B$208=R$9)*($D$9:$D$208&lt;$K26+1/24-1/1440)*($E$9:$E$208&gt;$K26+1/1440)*(ROW($B$9:$B$208)-8))))))</f>
        <v/>
      </c>
    </row>
    <row r="27" customFormat="false" ht="15" hidden="false" customHeight="false" outlineLevel="0" collapsed="false">
      <c r="A27" s="9"/>
      <c r="B27" s="10"/>
      <c r="C27" s="11" t="str">
        <f aca="false">IF(B27="","",CHOOSE(WEEKDAY(B27),"Sun","Mon","Tue","Wed","Thu","Fri","Sat"))</f>
        <v/>
      </c>
      <c r="D27" s="12"/>
      <c r="E27" s="12"/>
      <c r="F27" s="13" t="str">
        <f aca="false">IF(OR(D27="",E27=""),"",IF(E27&gt;D27,(E27-D27)*24,""))</f>
        <v/>
      </c>
      <c r="G27" s="9"/>
      <c r="H27" s="11" t="str">
        <f aca="false">IF(OR(A27="",B27="",D27="",E27=""),"",IF(E27&lt;=D27,"End before start",IF(COUNTIFS($B$9:$B$208,B27,$D$9:$D$208,"&lt;"&amp;(E27-1/1440),$E$9:$E$208,"&gt;"&amp;(D27+1/1440))&gt;1,"CONFLICT","OK")))</f>
        <v/>
      </c>
    </row>
    <row r="28" customFormat="false" ht="15" hidden="false" customHeight="false" outlineLevel="0" collapsed="false">
      <c r="A28" s="9"/>
      <c r="B28" s="10"/>
      <c r="C28" s="11" t="str">
        <f aca="false">IF(B28="","",CHOOSE(WEEKDAY(B28),"Sun","Mon","Tue","Wed","Thu","Fri","Sat"))</f>
        <v/>
      </c>
      <c r="D28" s="12"/>
      <c r="E28" s="12"/>
      <c r="F28" s="13" t="str">
        <f aca="false">IF(OR(D28="",E28=""),"",IF(E28&gt;D28,(E28-D28)*24,""))</f>
        <v/>
      </c>
      <c r="G28" s="9"/>
      <c r="H28" s="11" t="str">
        <f aca="false">IF(OR(A28="",B28="",D28="",E28=""),"",IF(E28&lt;=D28,"End before start",IF(COUNTIFS($B$9:$B$208,B28,$D$9:$D$208,"&lt;"&amp;(E28-1/1440),$E$9:$E$208,"&gt;"&amp;(D28+1/1440))&gt;1,"CONFLICT","OK")))</f>
        <v/>
      </c>
    </row>
    <row r="29" customFormat="false" ht="15" hidden="false" customHeight="false" outlineLevel="0" collapsed="false">
      <c r="A29" s="9"/>
      <c r="B29" s="10"/>
      <c r="C29" s="11" t="str">
        <f aca="false">IF(B29="","",CHOOSE(WEEKDAY(B29),"Sun","Mon","Tue","Wed","Thu","Fri","Sat"))</f>
        <v/>
      </c>
      <c r="D29" s="12"/>
      <c r="E29" s="12"/>
      <c r="F29" s="13" t="str">
        <f aca="false">IF(OR(D29="",E29=""),"",IF(E29&gt;D29,(E29-D29)*24,""))</f>
        <v/>
      </c>
      <c r="G29" s="9"/>
      <c r="H29" s="11" t="str">
        <f aca="false">IF(OR(A29="",B29="",D29="",E29=""),"",IF(E29&lt;=D29,"End before start",IF(COUNTIFS($B$9:$B$208,B29,$D$9:$D$208,"&lt;"&amp;(E29-1/1440),$E$9:$E$208,"&gt;"&amp;(D29+1/1440))&gt;1,"CONFLICT","OK")))</f>
        <v/>
      </c>
      <c r="K29" s="19" t="s">
        <v>20</v>
      </c>
    </row>
    <row r="30" customFormat="false" ht="15" hidden="false" customHeight="false" outlineLevel="0" collapsed="false">
      <c r="A30" s="9"/>
      <c r="B30" s="10"/>
      <c r="C30" s="11" t="str">
        <f aca="false">IF(B30="","",CHOOSE(WEEKDAY(B30),"Sun","Mon","Tue","Wed","Thu","Fri","Sat"))</f>
        <v/>
      </c>
      <c r="D30" s="12"/>
      <c r="E30" s="12"/>
      <c r="F30" s="13" t="str">
        <f aca="false">IF(OR(D30="",E30=""),"",IF(E30&gt;D30,(E30-D30)*24,""))</f>
        <v/>
      </c>
      <c r="G30" s="9"/>
      <c r="H30" s="11" t="str">
        <f aca="false">IF(OR(A30="",B30="",D30="",E30=""),"",IF(E30&lt;=D30,"End before start",IF(COUNTIFS($B$9:$B$208,B30,$D$9:$D$208,"&lt;"&amp;(E30-1/1440),$E$9:$E$208,"&gt;"&amp;(D30+1/1440))&gt;1,"CONFLICT","OK")))</f>
        <v/>
      </c>
      <c r="K30" s="20" t="s">
        <v>17</v>
      </c>
      <c r="L30" s="8" t="s">
        <v>21</v>
      </c>
    </row>
    <row r="31" customFormat="false" ht="15" hidden="false" customHeight="false" outlineLevel="0" collapsed="false">
      <c r="A31" s="9"/>
      <c r="B31" s="10"/>
      <c r="C31" s="11" t="str">
        <f aca="false">IF(B31="","",CHOOSE(WEEKDAY(B31),"Sun","Mon","Tue","Wed","Thu","Fri","Sat"))</f>
        <v/>
      </c>
      <c r="D31" s="12"/>
      <c r="E31" s="12"/>
      <c r="F31" s="13" t="str">
        <f aca="false">IF(OR(D31="",E31=""),"",IF(E31&gt;D31,(E31-D31)*24,""))</f>
        <v/>
      </c>
      <c r="G31" s="9"/>
      <c r="H31" s="11" t="str">
        <f aca="false">IF(OR(A31="",B31="",D31="",E31=""),"",IF(E31&lt;=D31,"End before start",IF(COUNTIFS($B$9:$B$208,B31,$D$9:$D$208,"&lt;"&amp;(E31-1/1440),$E$9:$E$208,"&gt;"&amp;(D31+1/1440))&gt;1,"CONFLICT","OK")))</f>
        <v/>
      </c>
      <c r="K31" s="21" t="s">
        <v>22</v>
      </c>
    </row>
    <row r="32" customFormat="false" ht="15" hidden="false" customHeight="false" outlineLevel="0" collapsed="false">
      <c r="A32" s="9"/>
      <c r="B32" s="10"/>
      <c r="C32" s="11" t="str">
        <f aca="false">IF(B32="","",CHOOSE(WEEKDAY(B32),"Sun","Mon","Tue","Wed","Thu","Fri","Sat"))</f>
        <v/>
      </c>
      <c r="D32" s="12"/>
      <c r="E32" s="12"/>
      <c r="F32" s="13" t="str">
        <f aca="false">IF(OR(D32="",E32=""),"",IF(E32&gt;D32,(E32-D32)*24,""))</f>
        <v/>
      </c>
      <c r="G32" s="9"/>
      <c r="H32" s="11" t="str">
        <f aca="false">IF(OR(A32="",B32="",D32="",E32=""),"",IF(E32&lt;=D32,"End before start",IF(COUNTIFS($B$9:$B$208,B32,$D$9:$D$208,"&lt;"&amp;(E32-1/1440),$E$9:$E$208,"&gt;"&amp;(D32+1/1440))&gt;1,"CONFLICT","OK")))</f>
        <v/>
      </c>
      <c r="K32" s="22" t="s">
        <v>23</v>
      </c>
    </row>
    <row r="33" customFormat="false" ht="15" hidden="false" customHeight="false" outlineLevel="0" collapsed="false">
      <c r="A33" s="9"/>
      <c r="B33" s="10"/>
      <c r="C33" s="11" t="str">
        <f aca="false">IF(B33="","",CHOOSE(WEEKDAY(B33),"Sun","Mon","Tue","Wed","Thu","Fri","Sat"))</f>
        <v/>
      </c>
      <c r="D33" s="12"/>
      <c r="E33" s="12"/>
      <c r="F33" s="13" t="str">
        <f aca="false">IF(OR(D33="",E33=""),"",IF(E33&gt;D33,(E33-D33)*24,""))</f>
        <v/>
      </c>
      <c r="G33" s="9"/>
      <c r="H33" s="11" t="str">
        <f aca="false">IF(OR(A33="",B33="",D33="",E33=""),"",IF(E33&lt;=D33,"End before start",IF(COUNTIFS($B$9:$B$208,B33,$D$9:$D$208,"&lt;"&amp;(E33-1/1440),$E$9:$E$208,"&gt;"&amp;(D33+1/1440))&gt;1,"CONFLICT","OK")))</f>
        <v/>
      </c>
      <c r="K33" s="23" t="s">
        <v>24</v>
      </c>
    </row>
    <row r="34" customFormat="false" ht="15" hidden="false" customHeight="false" outlineLevel="0" collapsed="false">
      <c r="A34" s="9"/>
      <c r="B34" s="10"/>
      <c r="C34" s="11" t="str">
        <f aca="false">IF(B34="","",CHOOSE(WEEKDAY(B34),"Sun","Mon","Tue","Wed","Thu","Fri","Sat"))</f>
        <v/>
      </c>
      <c r="D34" s="12"/>
      <c r="E34" s="12"/>
      <c r="F34" s="13" t="str">
        <f aca="false">IF(OR(D34="",E34=""),"",IF(E34&gt;D34,(E34-D34)*24,""))</f>
        <v/>
      </c>
      <c r="G34" s="9"/>
      <c r="H34" s="11" t="str">
        <f aca="false">IF(OR(A34="",B34="",D34="",E34=""),"",IF(E34&lt;=D34,"End before start",IF(COUNTIFS($B$9:$B$208,B34,$D$9:$D$208,"&lt;"&amp;(E34-1/1440),$E$9:$E$208,"&gt;"&amp;(D34+1/1440))&gt;1,"CONFLICT","OK")))</f>
        <v/>
      </c>
      <c r="K34" s="24" t="s">
        <v>25</v>
      </c>
    </row>
    <row r="35" customFormat="false" ht="15" hidden="false" customHeight="false" outlineLevel="0" collapsed="false">
      <c r="A35" s="9"/>
      <c r="B35" s="10"/>
      <c r="C35" s="11" t="str">
        <f aca="false">IF(B35="","",CHOOSE(WEEKDAY(B35),"Sun","Mon","Tue","Wed","Thu","Fri","Sat"))</f>
        <v/>
      </c>
      <c r="D35" s="12"/>
      <c r="E35" s="12"/>
      <c r="F35" s="13" t="str">
        <f aca="false">IF(OR(D35="",E35=""),"",IF(E35&gt;D35,(E35-D35)*24,""))</f>
        <v/>
      </c>
      <c r="G35" s="9"/>
      <c r="H35" s="11" t="str">
        <f aca="false">IF(OR(A35="",B35="",D35="",E35=""),"",IF(E35&lt;=D35,"End before start",IF(COUNTIFS($B$9:$B$208,B35,$D$9:$D$208,"&lt;"&amp;(E35-1/1440),$E$9:$E$208,"&gt;"&amp;(D35+1/1440))&gt;1,"CONFLICT","OK")))</f>
        <v/>
      </c>
    </row>
    <row r="36" customFormat="false" ht="15" hidden="false" customHeight="false" outlineLevel="0" collapsed="false">
      <c r="A36" s="9"/>
      <c r="B36" s="10"/>
      <c r="C36" s="11" t="str">
        <f aca="false">IF(B36="","",CHOOSE(WEEKDAY(B36),"Sun","Mon","Tue","Wed","Thu","Fri","Sat"))</f>
        <v/>
      </c>
      <c r="D36" s="12"/>
      <c r="E36" s="12"/>
      <c r="F36" s="13" t="str">
        <f aca="false">IF(OR(D36="",E36=""),"",IF(E36&gt;D36,(E36-D36)*24,""))</f>
        <v/>
      </c>
      <c r="G36" s="9"/>
      <c r="H36" s="11" t="str">
        <f aca="false">IF(OR(A36="",B36="",D36="",E36=""),"",IF(E36&lt;=D36,"End before start",IF(COUNTIFS($B$9:$B$208,B36,$D$9:$D$208,"&lt;"&amp;(E36-1/1440),$E$9:$E$208,"&gt;"&amp;(D36+1/1440))&gt;1,"CONFLICT","OK")))</f>
        <v/>
      </c>
    </row>
    <row r="37" customFormat="false" ht="15" hidden="false" customHeight="false" outlineLevel="0" collapsed="false">
      <c r="A37" s="9"/>
      <c r="B37" s="10"/>
      <c r="C37" s="11" t="str">
        <f aca="false">IF(B37="","",CHOOSE(WEEKDAY(B37),"Sun","Mon","Tue","Wed","Thu","Fri","Sat"))</f>
        <v/>
      </c>
      <c r="D37" s="12"/>
      <c r="E37" s="12"/>
      <c r="F37" s="13" t="str">
        <f aca="false">IF(OR(D37="",E37=""),"",IF(E37&gt;D37,(E37-D37)*24,""))</f>
        <v/>
      </c>
      <c r="G37" s="9"/>
      <c r="H37" s="11" t="str">
        <f aca="false">IF(OR(A37="",B37="",D37="",E37=""),"",IF(E37&lt;=D37,"End before start",IF(COUNTIFS($B$9:$B$208,B37,$D$9:$D$208,"&lt;"&amp;(E37-1/1440),$E$9:$E$208,"&gt;"&amp;(D37+1/1440))&gt;1,"CONFLICT","OK")))</f>
        <v/>
      </c>
    </row>
    <row r="38" customFormat="false" ht="15" hidden="false" customHeight="false" outlineLevel="0" collapsed="false">
      <c r="A38" s="9"/>
      <c r="B38" s="10"/>
      <c r="C38" s="11" t="str">
        <f aca="false">IF(B38="","",CHOOSE(WEEKDAY(B38),"Sun","Mon","Tue","Wed","Thu","Fri","Sat"))</f>
        <v/>
      </c>
      <c r="D38" s="12"/>
      <c r="E38" s="12"/>
      <c r="F38" s="13" t="str">
        <f aca="false">IF(OR(D38="",E38=""),"",IF(E38&gt;D38,(E38-D38)*24,""))</f>
        <v/>
      </c>
      <c r="G38" s="9"/>
      <c r="H38" s="11" t="str">
        <f aca="false">IF(OR(A38="",B38="",D38="",E38=""),"",IF(E38&lt;=D38,"End before start",IF(COUNTIFS($B$9:$B$208,B38,$D$9:$D$208,"&lt;"&amp;(E38-1/1440),$E$9:$E$208,"&gt;"&amp;(D38+1/1440))&gt;1,"CONFLICT","OK")))</f>
        <v/>
      </c>
    </row>
    <row r="39" customFormat="false" ht="15" hidden="false" customHeight="false" outlineLevel="0" collapsed="false">
      <c r="A39" s="9"/>
      <c r="B39" s="10"/>
      <c r="C39" s="11" t="str">
        <f aca="false">IF(B39="","",CHOOSE(WEEKDAY(B39),"Sun","Mon","Tue","Wed","Thu","Fri","Sat"))</f>
        <v/>
      </c>
      <c r="D39" s="12"/>
      <c r="E39" s="12"/>
      <c r="F39" s="13" t="str">
        <f aca="false">IF(OR(D39="",E39=""),"",IF(E39&gt;D39,(E39-D39)*24,""))</f>
        <v/>
      </c>
      <c r="G39" s="9"/>
      <c r="H39" s="11" t="str">
        <f aca="false">IF(OR(A39="",B39="",D39="",E39=""),"",IF(E39&lt;=D39,"End before start",IF(COUNTIFS($B$9:$B$208,B39,$D$9:$D$208,"&lt;"&amp;(E39-1/1440),$E$9:$E$208,"&gt;"&amp;(D39+1/1440))&gt;1,"CONFLICT","OK")))</f>
        <v/>
      </c>
    </row>
    <row r="40" customFormat="false" ht="15" hidden="false" customHeight="false" outlineLevel="0" collapsed="false">
      <c r="A40" s="9"/>
      <c r="B40" s="10"/>
      <c r="C40" s="11" t="str">
        <f aca="false">IF(B40="","",CHOOSE(WEEKDAY(B40),"Sun","Mon","Tue","Wed","Thu","Fri","Sat"))</f>
        <v/>
      </c>
      <c r="D40" s="12"/>
      <c r="E40" s="12"/>
      <c r="F40" s="13" t="str">
        <f aca="false">IF(OR(D40="",E40=""),"",IF(E40&gt;D40,(E40-D40)*24,""))</f>
        <v/>
      </c>
      <c r="G40" s="9"/>
      <c r="H40" s="11" t="str">
        <f aca="false">IF(OR(A40="",B40="",D40="",E40=""),"",IF(E40&lt;=D40,"End before start",IF(COUNTIFS($B$9:$B$208,B40,$D$9:$D$208,"&lt;"&amp;(E40-1/1440),$E$9:$E$208,"&gt;"&amp;(D40+1/1440))&gt;1,"CONFLICT","OK")))</f>
        <v/>
      </c>
    </row>
    <row r="41" customFormat="false" ht="15" hidden="false" customHeight="false" outlineLevel="0" collapsed="false">
      <c r="A41" s="9"/>
      <c r="B41" s="10"/>
      <c r="C41" s="11" t="str">
        <f aca="false">IF(B41="","",CHOOSE(WEEKDAY(B41),"Sun","Mon","Tue","Wed","Thu","Fri","Sat"))</f>
        <v/>
      </c>
      <c r="D41" s="12"/>
      <c r="E41" s="12"/>
      <c r="F41" s="13" t="str">
        <f aca="false">IF(OR(D41="",E41=""),"",IF(E41&gt;D41,(E41-D41)*24,""))</f>
        <v/>
      </c>
      <c r="G41" s="9"/>
      <c r="H41" s="11" t="str">
        <f aca="false">IF(OR(A41="",B41="",D41="",E41=""),"",IF(E41&lt;=D41,"End before start",IF(COUNTIFS($B$9:$B$208,B41,$D$9:$D$208,"&lt;"&amp;(E41-1/1440),$E$9:$E$208,"&gt;"&amp;(D41+1/1440))&gt;1,"CONFLICT","OK")))</f>
        <v/>
      </c>
    </row>
    <row r="42" customFormat="false" ht="15" hidden="false" customHeight="false" outlineLevel="0" collapsed="false">
      <c r="A42" s="9"/>
      <c r="B42" s="10"/>
      <c r="C42" s="11" t="str">
        <f aca="false">IF(B42="","",CHOOSE(WEEKDAY(B42),"Sun","Mon","Tue","Wed","Thu","Fri","Sat"))</f>
        <v/>
      </c>
      <c r="D42" s="12"/>
      <c r="E42" s="12"/>
      <c r="F42" s="13" t="str">
        <f aca="false">IF(OR(D42="",E42=""),"",IF(E42&gt;D42,(E42-D42)*24,""))</f>
        <v/>
      </c>
      <c r="G42" s="9"/>
      <c r="H42" s="11" t="str">
        <f aca="false">IF(OR(A42="",B42="",D42="",E42=""),"",IF(E42&lt;=D42,"End before start",IF(COUNTIFS($B$9:$B$208,B42,$D$9:$D$208,"&lt;"&amp;(E42-1/1440),$E$9:$E$208,"&gt;"&amp;(D42+1/1440))&gt;1,"CONFLICT","OK")))</f>
        <v/>
      </c>
    </row>
    <row r="43" customFormat="false" ht="15" hidden="false" customHeight="false" outlineLevel="0" collapsed="false">
      <c r="A43" s="9"/>
      <c r="B43" s="10"/>
      <c r="C43" s="11" t="str">
        <f aca="false">IF(B43="","",CHOOSE(WEEKDAY(B43),"Sun","Mon","Tue","Wed","Thu","Fri","Sat"))</f>
        <v/>
      </c>
      <c r="D43" s="12"/>
      <c r="E43" s="12"/>
      <c r="F43" s="13" t="str">
        <f aca="false">IF(OR(D43="",E43=""),"",IF(E43&gt;D43,(E43-D43)*24,""))</f>
        <v/>
      </c>
      <c r="G43" s="9"/>
      <c r="H43" s="11" t="str">
        <f aca="false">IF(OR(A43="",B43="",D43="",E43=""),"",IF(E43&lt;=D43,"End before start",IF(COUNTIFS($B$9:$B$208,B43,$D$9:$D$208,"&lt;"&amp;(E43-1/1440),$E$9:$E$208,"&gt;"&amp;(D43+1/1440))&gt;1,"CONFLICT","OK")))</f>
        <v/>
      </c>
    </row>
    <row r="44" customFormat="false" ht="15" hidden="false" customHeight="false" outlineLevel="0" collapsed="false">
      <c r="A44" s="9"/>
      <c r="B44" s="10"/>
      <c r="C44" s="11" t="str">
        <f aca="false">IF(B44="","",CHOOSE(WEEKDAY(B44),"Sun","Mon","Tue","Wed","Thu","Fri","Sat"))</f>
        <v/>
      </c>
      <c r="D44" s="12"/>
      <c r="E44" s="12"/>
      <c r="F44" s="13" t="str">
        <f aca="false">IF(OR(D44="",E44=""),"",IF(E44&gt;D44,(E44-D44)*24,""))</f>
        <v/>
      </c>
      <c r="G44" s="9"/>
      <c r="H44" s="11" t="str">
        <f aca="false">IF(OR(A44="",B44="",D44="",E44=""),"",IF(E44&lt;=D44,"End before start",IF(COUNTIFS($B$9:$B$208,B44,$D$9:$D$208,"&lt;"&amp;(E44-1/1440),$E$9:$E$208,"&gt;"&amp;(D44+1/1440))&gt;1,"CONFLICT","OK")))</f>
        <v/>
      </c>
    </row>
    <row r="45" customFormat="false" ht="15" hidden="false" customHeight="false" outlineLevel="0" collapsed="false">
      <c r="A45" s="9"/>
      <c r="B45" s="10"/>
      <c r="C45" s="11" t="str">
        <f aca="false">IF(B45="","",CHOOSE(WEEKDAY(B45),"Sun","Mon","Tue","Wed","Thu","Fri","Sat"))</f>
        <v/>
      </c>
      <c r="D45" s="12"/>
      <c r="E45" s="12"/>
      <c r="F45" s="13" t="str">
        <f aca="false">IF(OR(D45="",E45=""),"",IF(E45&gt;D45,(E45-D45)*24,""))</f>
        <v/>
      </c>
      <c r="G45" s="9"/>
      <c r="H45" s="11" t="str">
        <f aca="false">IF(OR(A45="",B45="",D45="",E45=""),"",IF(E45&lt;=D45,"End before start",IF(COUNTIFS($B$9:$B$208,B45,$D$9:$D$208,"&lt;"&amp;(E45-1/1440),$E$9:$E$208,"&gt;"&amp;(D45+1/1440))&gt;1,"CONFLICT","OK")))</f>
        <v/>
      </c>
    </row>
    <row r="46" customFormat="false" ht="15" hidden="false" customHeight="false" outlineLevel="0" collapsed="false">
      <c r="A46" s="9"/>
      <c r="B46" s="10"/>
      <c r="C46" s="11" t="str">
        <f aca="false">IF(B46="","",CHOOSE(WEEKDAY(B46),"Sun","Mon","Tue","Wed","Thu","Fri","Sat"))</f>
        <v/>
      </c>
      <c r="D46" s="12"/>
      <c r="E46" s="12"/>
      <c r="F46" s="13" t="str">
        <f aca="false">IF(OR(D46="",E46=""),"",IF(E46&gt;D46,(E46-D46)*24,""))</f>
        <v/>
      </c>
      <c r="G46" s="9"/>
      <c r="H46" s="11" t="str">
        <f aca="false">IF(OR(A46="",B46="",D46="",E46=""),"",IF(E46&lt;=D46,"End before start",IF(COUNTIFS($B$9:$B$208,B46,$D$9:$D$208,"&lt;"&amp;(E46-1/1440),$E$9:$E$208,"&gt;"&amp;(D46+1/1440))&gt;1,"CONFLICT","OK")))</f>
        <v/>
      </c>
    </row>
    <row r="47" customFormat="false" ht="15" hidden="false" customHeight="false" outlineLevel="0" collapsed="false">
      <c r="A47" s="9"/>
      <c r="B47" s="10"/>
      <c r="C47" s="11" t="str">
        <f aca="false">IF(B47="","",CHOOSE(WEEKDAY(B47),"Sun","Mon","Tue","Wed","Thu","Fri","Sat"))</f>
        <v/>
      </c>
      <c r="D47" s="12"/>
      <c r="E47" s="12"/>
      <c r="F47" s="13" t="str">
        <f aca="false">IF(OR(D47="",E47=""),"",IF(E47&gt;D47,(E47-D47)*24,""))</f>
        <v/>
      </c>
      <c r="G47" s="9"/>
      <c r="H47" s="11" t="str">
        <f aca="false">IF(OR(A47="",B47="",D47="",E47=""),"",IF(E47&lt;=D47,"End before start",IF(COUNTIFS($B$9:$B$208,B47,$D$9:$D$208,"&lt;"&amp;(E47-1/1440),$E$9:$E$208,"&gt;"&amp;(D47+1/1440))&gt;1,"CONFLICT","OK")))</f>
        <v/>
      </c>
    </row>
    <row r="48" customFormat="false" ht="15" hidden="false" customHeight="false" outlineLevel="0" collapsed="false">
      <c r="A48" s="9"/>
      <c r="B48" s="10"/>
      <c r="C48" s="11" t="str">
        <f aca="false">IF(B48="","",CHOOSE(WEEKDAY(B48),"Sun","Mon","Tue","Wed","Thu","Fri","Sat"))</f>
        <v/>
      </c>
      <c r="D48" s="12"/>
      <c r="E48" s="12"/>
      <c r="F48" s="13" t="str">
        <f aca="false">IF(OR(D48="",E48=""),"",IF(E48&gt;D48,(E48-D48)*24,""))</f>
        <v/>
      </c>
      <c r="G48" s="9"/>
      <c r="H48" s="11" t="str">
        <f aca="false">IF(OR(A48="",B48="",D48="",E48=""),"",IF(E48&lt;=D48,"End before start",IF(COUNTIFS($B$9:$B$208,B48,$D$9:$D$208,"&lt;"&amp;(E48-1/1440),$E$9:$E$208,"&gt;"&amp;(D48+1/1440))&gt;1,"CONFLICT","OK")))</f>
        <v/>
      </c>
    </row>
    <row r="49" customFormat="false" ht="15" hidden="false" customHeight="false" outlineLevel="0" collapsed="false">
      <c r="A49" s="9"/>
      <c r="B49" s="10"/>
      <c r="C49" s="11" t="str">
        <f aca="false">IF(B49="","",CHOOSE(WEEKDAY(B49),"Sun","Mon","Tue","Wed","Thu","Fri","Sat"))</f>
        <v/>
      </c>
      <c r="D49" s="12"/>
      <c r="E49" s="12"/>
      <c r="F49" s="13" t="str">
        <f aca="false">IF(OR(D49="",E49=""),"",IF(E49&gt;D49,(E49-D49)*24,""))</f>
        <v/>
      </c>
      <c r="G49" s="9"/>
      <c r="H49" s="11" t="str">
        <f aca="false">IF(OR(A49="",B49="",D49="",E49=""),"",IF(E49&lt;=D49,"End before start",IF(COUNTIFS($B$9:$B$208,B49,$D$9:$D$208,"&lt;"&amp;(E49-1/1440),$E$9:$E$208,"&gt;"&amp;(D49+1/1440))&gt;1,"CONFLICT","OK")))</f>
        <v/>
      </c>
    </row>
    <row r="50" customFormat="false" ht="15" hidden="false" customHeight="false" outlineLevel="0" collapsed="false">
      <c r="A50" s="9"/>
      <c r="B50" s="10"/>
      <c r="C50" s="11" t="str">
        <f aca="false">IF(B50="","",CHOOSE(WEEKDAY(B50),"Sun","Mon","Tue","Wed","Thu","Fri","Sat"))</f>
        <v/>
      </c>
      <c r="D50" s="12"/>
      <c r="E50" s="12"/>
      <c r="F50" s="13" t="str">
        <f aca="false">IF(OR(D50="",E50=""),"",IF(E50&gt;D50,(E50-D50)*24,""))</f>
        <v/>
      </c>
      <c r="G50" s="9"/>
      <c r="H50" s="11" t="str">
        <f aca="false">IF(OR(A50="",B50="",D50="",E50=""),"",IF(E50&lt;=D50,"End before start",IF(COUNTIFS($B$9:$B$208,B50,$D$9:$D$208,"&lt;"&amp;(E50-1/1440),$E$9:$E$208,"&gt;"&amp;(D50+1/1440))&gt;1,"CONFLICT","OK")))</f>
        <v/>
      </c>
    </row>
    <row r="51" customFormat="false" ht="15" hidden="false" customHeight="false" outlineLevel="0" collapsed="false">
      <c r="A51" s="9"/>
      <c r="B51" s="10"/>
      <c r="C51" s="11" t="str">
        <f aca="false">IF(B51="","",CHOOSE(WEEKDAY(B51),"Sun","Mon","Tue","Wed","Thu","Fri","Sat"))</f>
        <v/>
      </c>
      <c r="D51" s="12"/>
      <c r="E51" s="12"/>
      <c r="F51" s="13" t="str">
        <f aca="false">IF(OR(D51="",E51=""),"",IF(E51&gt;D51,(E51-D51)*24,""))</f>
        <v/>
      </c>
      <c r="G51" s="9"/>
      <c r="H51" s="11" t="str">
        <f aca="false">IF(OR(A51="",B51="",D51="",E51=""),"",IF(E51&lt;=D51,"End before start",IF(COUNTIFS($B$9:$B$208,B51,$D$9:$D$208,"&lt;"&amp;(E51-1/1440),$E$9:$E$208,"&gt;"&amp;(D51+1/1440))&gt;1,"CONFLICT","OK")))</f>
        <v/>
      </c>
    </row>
    <row r="52" customFormat="false" ht="15" hidden="false" customHeight="false" outlineLevel="0" collapsed="false">
      <c r="A52" s="9"/>
      <c r="B52" s="10"/>
      <c r="C52" s="11" t="str">
        <f aca="false">IF(B52="","",CHOOSE(WEEKDAY(B52),"Sun","Mon","Tue","Wed","Thu","Fri","Sat"))</f>
        <v/>
      </c>
      <c r="D52" s="12"/>
      <c r="E52" s="12"/>
      <c r="F52" s="13" t="str">
        <f aca="false">IF(OR(D52="",E52=""),"",IF(E52&gt;D52,(E52-D52)*24,""))</f>
        <v/>
      </c>
      <c r="G52" s="9"/>
      <c r="H52" s="11" t="str">
        <f aca="false">IF(OR(A52="",B52="",D52="",E52=""),"",IF(E52&lt;=D52,"End before start",IF(COUNTIFS($B$9:$B$208,B52,$D$9:$D$208,"&lt;"&amp;(E52-1/1440),$E$9:$E$208,"&gt;"&amp;(D52+1/1440))&gt;1,"CONFLICT","OK")))</f>
        <v/>
      </c>
    </row>
    <row r="53" customFormat="false" ht="15" hidden="false" customHeight="false" outlineLevel="0" collapsed="false">
      <c r="A53" s="9"/>
      <c r="B53" s="10"/>
      <c r="C53" s="11" t="str">
        <f aca="false">IF(B53="","",CHOOSE(WEEKDAY(B53),"Sun","Mon","Tue","Wed","Thu","Fri","Sat"))</f>
        <v/>
      </c>
      <c r="D53" s="12"/>
      <c r="E53" s="12"/>
      <c r="F53" s="13" t="str">
        <f aca="false">IF(OR(D53="",E53=""),"",IF(E53&gt;D53,(E53-D53)*24,""))</f>
        <v/>
      </c>
      <c r="G53" s="9"/>
      <c r="H53" s="11" t="str">
        <f aca="false">IF(OR(A53="",B53="",D53="",E53=""),"",IF(E53&lt;=D53,"End before start",IF(COUNTIFS($B$9:$B$208,B53,$D$9:$D$208,"&lt;"&amp;(E53-1/1440),$E$9:$E$208,"&gt;"&amp;(D53+1/1440))&gt;1,"CONFLICT","OK")))</f>
        <v/>
      </c>
    </row>
    <row r="54" customFormat="false" ht="15" hidden="false" customHeight="false" outlineLevel="0" collapsed="false">
      <c r="A54" s="9"/>
      <c r="B54" s="10"/>
      <c r="C54" s="11" t="str">
        <f aca="false">IF(B54="","",CHOOSE(WEEKDAY(B54),"Sun","Mon","Tue","Wed","Thu","Fri","Sat"))</f>
        <v/>
      </c>
      <c r="D54" s="12"/>
      <c r="E54" s="12"/>
      <c r="F54" s="13" t="str">
        <f aca="false">IF(OR(D54="",E54=""),"",IF(E54&gt;D54,(E54-D54)*24,""))</f>
        <v/>
      </c>
      <c r="G54" s="9"/>
      <c r="H54" s="11" t="str">
        <f aca="false">IF(OR(A54="",B54="",D54="",E54=""),"",IF(E54&lt;=D54,"End before start",IF(COUNTIFS($B$9:$B$208,B54,$D$9:$D$208,"&lt;"&amp;(E54-1/1440),$E$9:$E$208,"&gt;"&amp;(D54+1/1440))&gt;1,"CONFLICT","OK")))</f>
        <v/>
      </c>
    </row>
    <row r="55" customFormat="false" ht="15" hidden="false" customHeight="false" outlineLevel="0" collapsed="false">
      <c r="A55" s="9"/>
      <c r="B55" s="10"/>
      <c r="C55" s="11" t="str">
        <f aca="false">IF(B55="","",CHOOSE(WEEKDAY(B55),"Sun","Mon","Tue","Wed","Thu","Fri","Sat"))</f>
        <v/>
      </c>
      <c r="D55" s="12"/>
      <c r="E55" s="12"/>
      <c r="F55" s="13" t="str">
        <f aca="false">IF(OR(D55="",E55=""),"",IF(E55&gt;D55,(E55-D55)*24,""))</f>
        <v/>
      </c>
      <c r="G55" s="9"/>
      <c r="H55" s="11" t="str">
        <f aca="false">IF(OR(A55="",B55="",D55="",E55=""),"",IF(E55&lt;=D55,"End before start",IF(COUNTIFS($B$9:$B$208,B55,$D$9:$D$208,"&lt;"&amp;(E55-1/1440),$E$9:$E$208,"&gt;"&amp;(D55+1/1440))&gt;1,"CONFLICT","OK")))</f>
        <v/>
      </c>
    </row>
    <row r="56" customFormat="false" ht="15" hidden="false" customHeight="false" outlineLevel="0" collapsed="false">
      <c r="A56" s="9"/>
      <c r="B56" s="10"/>
      <c r="C56" s="11" t="str">
        <f aca="false">IF(B56="","",CHOOSE(WEEKDAY(B56),"Sun","Mon","Tue","Wed","Thu","Fri","Sat"))</f>
        <v/>
      </c>
      <c r="D56" s="12"/>
      <c r="E56" s="12"/>
      <c r="F56" s="13" t="str">
        <f aca="false">IF(OR(D56="",E56=""),"",IF(E56&gt;D56,(E56-D56)*24,""))</f>
        <v/>
      </c>
      <c r="G56" s="9"/>
      <c r="H56" s="11" t="str">
        <f aca="false">IF(OR(A56="",B56="",D56="",E56=""),"",IF(E56&lt;=D56,"End before start",IF(COUNTIFS($B$9:$B$208,B56,$D$9:$D$208,"&lt;"&amp;(E56-1/1440),$E$9:$E$208,"&gt;"&amp;(D56+1/1440))&gt;1,"CONFLICT","OK")))</f>
        <v/>
      </c>
    </row>
    <row r="57" customFormat="false" ht="15" hidden="false" customHeight="false" outlineLevel="0" collapsed="false">
      <c r="A57" s="9"/>
      <c r="B57" s="10"/>
      <c r="C57" s="11" t="str">
        <f aca="false">IF(B57="","",CHOOSE(WEEKDAY(B57),"Sun","Mon","Tue","Wed","Thu","Fri","Sat"))</f>
        <v/>
      </c>
      <c r="D57" s="12"/>
      <c r="E57" s="12"/>
      <c r="F57" s="13" t="str">
        <f aca="false">IF(OR(D57="",E57=""),"",IF(E57&gt;D57,(E57-D57)*24,""))</f>
        <v/>
      </c>
      <c r="G57" s="9"/>
      <c r="H57" s="11" t="str">
        <f aca="false">IF(OR(A57="",B57="",D57="",E57=""),"",IF(E57&lt;=D57,"End before start",IF(COUNTIFS($B$9:$B$208,B57,$D$9:$D$208,"&lt;"&amp;(E57-1/1440),$E$9:$E$208,"&gt;"&amp;(D57+1/1440))&gt;1,"CONFLICT","OK")))</f>
        <v/>
      </c>
    </row>
    <row r="58" customFormat="false" ht="15" hidden="false" customHeight="false" outlineLevel="0" collapsed="false">
      <c r="A58" s="9"/>
      <c r="B58" s="10"/>
      <c r="C58" s="11" t="str">
        <f aca="false">IF(B58="","",CHOOSE(WEEKDAY(B58),"Sun","Mon","Tue","Wed","Thu","Fri","Sat"))</f>
        <v/>
      </c>
      <c r="D58" s="12"/>
      <c r="E58" s="12"/>
      <c r="F58" s="13" t="str">
        <f aca="false">IF(OR(D58="",E58=""),"",IF(E58&gt;D58,(E58-D58)*24,""))</f>
        <v/>
      </c>
      <c r="G58" s="9"/>
      <c r="H58" s="11" t="str">
        <f aca="false">IF(OR(A58="",B58="",D58="",E58=""),"",IF(E58&lt;=D58,"End before start",IF(COUNTIFS($B$9:$B$208,B58,$D$9:$D$208,"&lt;"&amp;(E58-1/1440),$E$9:$E$208,"&gt;"&amp;(D58+1/1440))&gt;1,"CONFLICT","OK")))</f>
        <v/>
      </c>
    </row>
    <row r="59" customFormat="false" ht="15" hidden="false" customHeight="false" outlineLevel="0" collapsed="false">
      <c r="A59" s="9"/>
      <c r="B59" s="10"/>
      <c r="C59" s="11" t="str">
        <f aca="false">IF(B59="","",CHOOSE(WEEKDAY(B59),"Sun","Mon","Tue","Wed","Thu","Fri","Sat"))</f>
        <v/>
      </c>
      <c r="D59" s="12"/>
      <c r="E59" s="12"/>
      <c r="F59" s="13" t="str">
        <f aca="false">IF(OR(D59="",E59=""),"",IF(E59&gt;D59,(E59-D59)*24,""))</f>
        <v/>
      </c>
      <c r="G59" s="9"/>
      <c r="H59" s="11" t="str">
        <f aca="false">IF(OR(A59="",B59="",D59="",E59=""),"",IF(E59&lt;=D59,"End before start",IF(COUNTIFS($B$9:$B$208,B59,$D$9:$D$208,"&lt;"&amp;(E59-1/1440),$E$9:$E$208,"&gt;"&amp;(D59+1/1440))&gt;1,"CONFLICT","OK")))</f>
        <v/>
      </c>
    </row>
    <row r="60" customFormat="false" ht="15" hidden="false" customHeight="false" outlineLevel="0" collapsed="false">
      <c r="A60" s="9"/>
      <c r="B60" s="10"/>
      <c r="C60" s="11" t="str">
        <f aca="false">IF(B60="","",CHOOSE(WEEKDAY(B60),"Sun","Mon","Tue","Wed","Thu","Fri","Sat"))</f>
        <v/>
      </c>
      <c r="D60" s="12"/>
      <c r="E60" s="12"/>
      <c r="F60" s="13" t="str">
        <f aca="false">IF(OR(D60="",E60=""),"",IF(E60&gt;D60,(E60-D60)*24,""))</f>
        <v/>
      </c>
      <c r="G60" s="9"/>
      <c r="H60" s="11" t="str">
        <f aca="false">IF(OR(A60="",B60="",D60="",E60=""),"",IF(E60&lt;=D60,"End before start",IF(COUNTIFS($B$9:$B$208,B60,$D$9:$D$208,"&lt;"&amp;(E60-1/1440),$E$9:$E$208,"&gt;"&amp;(D60+1/1440))&gt;1,"CONFLICT","OK")))</f>
        <v/>
      </c>
    </row>
    <row r="61" customFormat="false" ht="15" hidden="false" customHeight="false" outlineLevel="0" collapsed="false">
      <c r="A61" s="9"/>
      <c r="B61" s="10"/>
      <c r="C61" s="11" t="str">
        <f aca="false">IF(B61="","",CHOOSE(WEEKDAY(B61),"Sun","Mon","Tue","Wed","Thu","Fri","Sat"))</f>
        <v/>
      </c>
      <c r="D61" s="12"/>
      <c r="E61" s="12"/>
      <c r="F61" s="13" t="str">
        <f aca="false">IF(OR(D61="",E61=""),"",IF(E61&gt;D61,(E61-D61)*24,""))</f>
        <v/>
      </c>
      <c r="G61" s="9"/>
      <c r="H61" s="11" t="str">
        <f aca="false">IF(OR(A61="",B61="",D61="",E61=""),"",IF(E61&lt;=D61,"End before start",IF(COUNTIFS($B$9:$B$208,B61,$D$9:$D$208,"&lt;"&amp;(E61-1/1440),$E$9:$E$208,"&gt;"&amp;(D61+1/1440))&gt;1,"CONFLICT","OK")))</f>
        <v/>
      </c>
    </row>
    <row r="62" customFormat="false" ht="15" hidden="false" customHeight="false" outlineLevel="0" collapsed="false">
      <c r="A62" s="9"/>
      <c r="B62" s="10"/>
      <c r="C62" s="11" t="str">
        <f aca="false">IF(B62="","",CHOOSE(WEEKDAY(B62),"Sun","Mon","Tue","Wed","Thu","Fri","Sat"))</f>
        <v/>
      </c>
      <c r="D62" s="12"/>
      <c r="E62" s="12"/>
      <c r="F62" s="13" t="str">
        <f aca="false">IF(OR(D62="",E62=""),"",IF(E62&gt;D62,(E62-D62)*24,""))</f>
        <v/>
      </c>
      <c r="G62" s="9"/>
      <c r="H62" s="11" t="str">
        <f aca="false">IF(OR(A62="",B62="",D62="",E62=""),"",IF(E62&lt;=D62,"End before start",IF(COUNTIFS($B$9:$B$208,B62,$D$9:$D$208,"&lt;"&amp;(E62-1/1440),$E$9:$E$208,"&gt;"&amp;(D62+1/1440))&gt;1,"CONFLICT","OK")))</f>
        <v/>
      </c>
    </row>
    <row r="63" customFormat="false" ht="15" hidden="false" customHeight="false" outlineLevel="0" collapsed="false">
      <c r="A63" s="9"/>
      <c r="B63" s="10"/>
      <c r="C63" s="11" t="str">
        <f aca="false">IF(B63="","",CHOOSE(WEEKDAY(B63),"Sun","Mon","Tue","Wed","Thu","Fri","Sat"))</f>
        <v/>
      </c>
      <c r="D63" s="12"/>
      <c r="E63" s="12"/>
      <c r="F63" s="13" t="str">
        <f aca="false">IF(OR(D63="",E63=""),"",IF(E63&gt;D63,(E63-D63)*24,""))</f>
        <v/>
      </c>
      <c r="G63" s="9"/>
      <c r="H63" s="11" t="str">
        <f aca="false">IF(OR(A63="",B63="",D63="",E63=""),"",IF(E63&lt;=D63,"End before start",IF(COUNTIFS($B$9:$B$208,B63,$D$9:$D$208,"&lt;"&amp;(E63-1/1440),$E$9:$E$208,"&gt;"&amp;(D63+1/1440))&gt;1,"CONFLICT","OK")))</f>
        <v/>
      </c>
    </row>
    <row r="64" customFormat="false" ht="15" hidden="false" customHeight="false" outlineLevel="0" collapsed="false">
      <c r="A64" s="9"/>
      <c r="B64" s="10"/>
      <c r="C64" s="11" t="str">
        <f aca="false">IF(B64="","",CHOOSE(WEEKDAY(B64),"Sun","Mon","Tue","Wed","Thu","Fri","Sat"))</f>
        <v/>
      </c>
      <c r="D64" s="12"/>
      <c r="E64" s="12"/>
      <c r="F64" s="13" t="str">
        <f aca="false">IF(OR(D64="",E64=""),"",IF(E64&gt;D64,(E64-D64)*24,""))</f>
        <v/>
      </c>
      <c r="G64" s="9"/>
      <c r="H64" s="11" t="str">
        <f aca="false">IF(OR(A64="",B64="",D64="",E64=""),"",IF(E64&lt;=D64,"End before start",IF(COUNTIFS($B$9:$B$208,B64,$D$9:$D$208,"&lt;"&amp;(E64-1/1440),$E$9:$E$208,"&gt;"&amp;(D64+1/1440))&gt;1,"CONFLICT","OK")))</f>
        <v/>
      </c>
    </row>
    <row r="65" customFormat="false" ht="15" hidden="false" customHeight="false" outlineLevel="0" collapsed="false">
      <c r="A65" s="9"/>
      <c r="B65" s="10"/>
      <c r="C65" s="11" t="str">
        <f aca="false">IF(B65="","",CHOOSE(WEEKDAY(B65),"Sun","Mon","Tue","Wed","Thu","Fri","Sat"))</f>
        <v/>
      </c>
      <c r="D65" s="12"/>
      <c r="E65" s="12"/>
      <c r="F65" s="13" t="str">
        <f aca="false">IF(OR(D65="",E65=""),"",IF(E65&gt;D65,(E65-D65)*24,""))</f>
        <v/>
      </c>
      <c r="G65" s="9"/>
      <c r="H65" s="11" t="str">
        <f aca="false">IF(OR(A65="",B65="",D65="",E65=""),"",IF(E65&lt;=D65,"End before start",IF(COUNTIFS($B$9:$B$208,B65,$D$9:$D$208,"&lt;"&amp;(E65-1/1440),$E$9:$E$208,"&gt;"&amp;(D65+1/1440))&gt;1,"CONFLICT","OK")))</f>
        <v/>
      </c>
    </row>
    <row r="66" customFormat="false" ht="15" hidden="false" customHeight="false" outlineLevel="0" collapsed="false">
      <c r="A66" s="9"/>
      <c r="B66" s="10"/>
      <c r="C66" s="11" t="str">
        <f aca="false">IF(B66="","",CHOOSE(WEEKDAY(B66),"Sun","Mon","Tue","Wed","Thu","Fri","Sat"))</f>
        <v/>
      </c>
      <c r="D66" s="12"/>
      <c r="E66" s="12"/>
      <c r="F66" s="13" t="str">
        <f aca="false">IF(OR(D66="",E66=""),"",IF(E66&gt;D66,(E66-D66)*24,""))</f>
        <v/>
      </c>
      <c r="G66" s="9"/>
      <c r="H66" s="11" t="str">
        <f aca="false">IF(OR(A66="",B66="",D66="",E66=""),"",IF(E66&lt;=D66,"End before start",IF(COUNTIFS($B$9:$B$208,B66,$D$9:$D$208,"&lt;"&amp;(E66-1/1440),$E$9:$E$208,"&gt;"&amp;(D66+1/1440))&gt;1,"CONFLICT","OK")))</f>
        <v/>
      </c>
    </row>
    <row r="67" customFormat="false" ht="15" hidden="false" customHeight="false" outlineLevel="0" collapsed="false">
      <c r="A67" s="9"/>
      <c r="B67" s="10"/>
      <c r="C67" s="11" t="str">
        <f aca="false">IF(B67="","",CHOOSE(WEEKDAY(B67),"Sun","Mon","Tue","Wed","Thu","Fri","Sat"))</f>
        <v/>
      </c>
      <c r="D67" s="12"/>
      <c r="E67" s="12"/>
      <c r="F67" s="13" t="str">
        <f aca="false">IF(OR(D67="",E67=""),"",IF(E67&gt;D67,(E67-D67)*24,""))</f>
        <v/>
      </c>
      <c r="G67" s="9"/>
      <c r="H67" s="11" t="str">
        <f aca="false">IF(OR(A67="",B67="",D67="",E67=""),"",IF(E67&lt;=D67,"End before start",IF(COUNTIFS($B$9:$B$208,B67,$D$9:$D$208,"&lt;"&amp;(E67-1/1440),$E$9:$E$208,"&gt;"&amp;(D67+1/1440))&gt;1,"CONFLICT","OK")))</f>
        <v/>
      </c>
    </row>
    <row r="68" customFormat="false" ht="15" hidden="false" customHeight="false" outlineLevel="0" collapsed="false">
      <c r="A68" s="9"/>
      <c r="B68" s="10"/>
      <c r="C68" s="11" t="str">
        <f aca="false">IF(B68="","",CHOOSE(WEEKDAY(B68),"Sun","Mon","Tue","Wed","Thu","Fri","Sat"))</f>
        <v/>
      </c>
      <c r="D68" s="12"/>
      <c r="E68" s="12"/>
      <c r="F68" s="13" t="str">
        <f aca="false">IF(OR(D68="",E68=""),"",IF(E68&gt;D68,(E68-D68)*24,""))</f>
        <v/>
      </c>
      <c r="G68" s="9"/>
      <c r="H68" s="11" t="str">
        <f aca="false">IF(OR(A68="",B68="",D68="",E68=""),"",IF(E68&lt;=D68,"End before start",IF(COUNTIFS($B$9:$B$208,B68,$D$9:$D$208,"&lt;"&amp;(E68-1/1440),$E$9:$E$208,"&gt;"&amp;(D68+1/1440))&gt;1,"CONFLICT","OK")))</f>
        <v/>
      </c>
    </row>
    <row r="69" customFormat="false" ht="15" hidden="false" customHeight="false" outlineLevel="0" collapsed="false">
      <c r="A69" s="9"/>
      <c r="B69" s="10"/>
      <c r="C69" s="11" t="str">
        <f aca="false">IF(B69="","",CHOOSE(WEEKDAY(B69),"Sun","Mon","Tue","Wed","Thu","Fri","Sat"))</f>
        <v/>
      </c>
      <c r="D69" s="12"/>
      <c r="E69" s="12"/>
      <c r="F69" s="13" t="str">
        <f aca="false">IF(OR(D69="",E69=""),"",IF(E69&gt;D69,(E69-D69)*24,""))</f>
        <v/>
      </c>
      <c r="G69" s="9"/>
      <c r="H69" s="11" t="str">
        <f aca="false">IF(OR(A69="",B69="",D69="",E69=""),"",IF(E69&lt;=D69,"End before start",IF(COUNTIFS($B$9:$B$208,B69,$D$9:$D$208,"&lt;"&amp;(E69-1/1440),$E$9:$E$208,"&gt;"&amp;(D69+1/1440))&gt;1,"CONFLICT","OK")))</f>
        <v/>
      </c>
    </row>
    <row r="70" customFormat="false" ht="15" hidden="false" customHeight="false" outlineLevel="0" collapsed="false">
      <c r="A70" s="9"/>
      <c r="B70" s="10"/>
      <c r="C70" s="11" t="str">
        <f aca="false">IF(B70="","",CHOOSE(WEEKDAY(B70),"Sun","Mon","Tue","Wed","Thu","Fri","Sat"))</f>
        <v/>
      </c>
      <c r="D70" s="12"/>
      <c r="E70" s="12"/>
      <c r="F70" s="13" t="str">
        <f aca="false">IF(OR(D70="",E70=""),"",IF(E70&gt;D70,(E70-D70)*24,""))</f>
        <v/>
      </c>
      <c r="G70" s="9"/>
      <c r="H70" s="11" t="str">
        <f aca="false">IF(OR(A70="",B70="",D70="",E70=""),"",IF(E70&lt;=D70,"End before start",IF(COUNTIFS($B$9:$B$208,B70,$D$9:$D$208,"&lt;"&amp;(E70-1/1440),$E$9:$E$208,"&gt;"&amp;(D70+1/1440))&gt;1,"CONFLICT","OK")))</f>
        <v/>
      </c>
    </row>
    <row r="71" customFormat="false" ht="15" hidden="false" customHeight="false" outlineLevel="0" collapsed="false">
      <c r="A71" s="9"/>
      <c r="B71" s="10"/>
      <c r="C71" s="11" t="str">
        <f aca="false">IF(B71="","",CHOOSE(WEEKDAY(B71),"Sun","Mon","Tue","Wed","Thu","Fri","Sat"))</f>
        <v/>
      </c>
      <c r="D71" s="12"/>
      <c r="E71" s="12"/>
      <c r="F71" s="13" t="str">
        <f aca="false">IF(OR(D71="",E71=""),"",IF(E71&gt;D71,(E71-D71)*24,""))</f>
        <v/>
      </c>
      <c r="G71" s="9"/>
      <c r="H71" s="11" t="str">
        <f aca="false">IF(OR(A71="",B71="",D71="",E71=""),"",IF(E71&lt;=D71,"End before start",IF(COUNTIFS($B$9:$B$208,B71,$D$9:$D$208,"&lt;"&amp;(E71-1/1440),$E$9:$E$208,"&gt;"&amp;(D71+1/1440))&gt;1,"CONFLICT","OK")))</f>
        <v/>
      </c>
    </row>
    <row r="72" customFormat="false" ht="15" hidden="false" customHeight="false" outlineLevel="0" collapsed="false">
      <c r="A72" s="9"/>
      <c r="B72" s="10"/>
      <c r="C72" s="11" t="str">
        <f aca="false">IF(B72="","",CHOOSE(WEEKDAY(B72),"Sun","Mon","Tue","Wed","Thu","Fri","Sat"))</f>
        <v/>
      </c>
      <c r="D72" s="12"/>
      <c r="E72" s="12"/>
      <c r="F72" s="13" t="str">
        <f aca="false">IF(OR(D72="",E72=""),"",IF(E72&gt;D72,(E72-D72)*24,""))</f>
        <v/>
      </c>
      <c r="G72" s="9"/>
      <c r="H72" s="11" t="str">
        <f aca="false">IF(OR(A72="",B72="",D72="",E72=""),"",IF(E72&lt;=D72,"End before start",IF(COUNTIFS($B$9:$B$208,B72,$D$9:$D$208,"&lt;"&amp;(E72-1/1440),$E$9:$E$208,"&gt;"&amp;(D72+1/1440))&gt;1,"CONFLICT","OK")))</f>
        <v/>
      </c>
    </row>
    <row r="73" customFormat="false" ht="15" hidden="false" customHeight="false" outlineLevel="0" collapsed="false">
      <c r="A73" s="9"/>
      <c r="B73" s="10"/>
      <c r="C73" s="11" t="str">
        <f aca="false">IF(B73="","",CHOOSE(WEEKDAY(B73),"Sun","Mon","Tue","Wed","Thu","Fri","Sat"))</f>
        <v/>
      </c>
      <c r="D73" s="12"/>
      <c r="E73" s="12"/>
      <c r="F73" s="13" t="str">
        <f aca="false">IF(OR(D73="",E73=""),"",IF(E73&gt;D73,(E73-D73)*24,""))</f>
        <v/>
      </c>
      <c r="G73" s="9"/>
      <c r="H73" s="11" t="str">
        <f aca="false">IF(OR(A73="",B73="",D73="",E73=""),"",IF(E73&lt;=D73,"End before start",IF(COUNTIFS($B$9:$B$208,B73,$D$9:$D$208,"&lt;"&amp;(E73-1/1440),$E$9:$E$208,"&gt;"&amp;(D73+1/1440))&gt;1,"CONFLICT","OK")))</f>
        <v/>
      </c>
    </row>
    <row r="74" customFormat="false" ht="15" hidden="false" customHeight="false" outlineLevel="0" collapsed="false">
      <c r="A74" s="9"/>
      <c r="B74" s="10"/>
      <c r="C74" s="11" t="str">
        <f aca="false">IF(B74="","",CHOOSE(WEEKDAY(B74),"Sun","Mon","Tue","Wed","Thu","Fri","Sat"))</f>
        <v/>
      </c>
      <c r="D74" s="12"/>
      <c r="E74" s="12"/>
      <c r="F74" s="13" t="str">
        <f aca="false">IF(OR(D74="",E74=""),"",IF(E74&gt;D74,(E74-D74)*24,""))</f>
        <v/>
      </c>
      <c r="G74" s="9"/>
      <c r="H74" s="11" t="str">
        <f aca="false">IF(OR(A74="",B74="",D74="",E74=""),"",IF(E74&lt;=D74,"End before start",IF(COUNTIFS($B$9:$B$208,B74,$D$9:$D$208,"&lt;"&amp;(E74-1/1440),$E$9:$E$208,"&gt;"&amp;(D74+1/1440))&gt;1,"CONFLICT","OK")))</f>
        <v/>
      </c>
    </row>
    <row r="75" customFormat="false" ht="15" hidden="false" customHeight="false" outlineLevel="0" collapsed="false">
      <c r="A75" s="9"/>
      <c r="B75" s="10"/>
      <c r="C75" s="11" t="str">
        <f aca="false">IF(B75="","",CHOOSE(WEEKDAY(B75),"Sun","Mon","Tue","Wed","Thu","Fri","Sat"))</f>
        <v/>
      </c>
      <c r="D75" s="12"/>
      <c r="E75" s="12"/>
      <c r="F75" s="13" t="str">
        <f aca="false">IF(OR(D75="",E75=""),"",IF(E75&gt;D75,(E75-D75)*24,""))</f>
        <v/>
      </c>
      <c r="G75" s="9"/>
      <c r="H75" s="11" t="str">
        <f aca="false">IF(OR(A75="",B75="",D75="",E75=""),"",IF(E75&lt;=D75,"End before start",IF(COUNTIFS($B$9:$B$208,B75,$D$9:$D$208,"&lt;"&amp;(E75-1/1440),$E$9:$E$208,"&gt;"&amp;(D75+1/1440))&gt;1,"CONFLICT","OK")))</f>
        <v/>
      </c>
    </row>
    <row r="76" customFormat="false" ht="15" hidden="false" customHeight="false" outlineLevel="0" collapsed="false">
      <c r="A76" s="9"/>
      <c r="B76" s="10"/>
      <c r="C76" s="11" t="str">
        <f aca="false">IF(B76="","",CHOOSE(WEEKDAY(B76),"Sun","Mon","Tue","Wed","Thu","Fri","Sat"))</f>
        <v/>
      </c>
      <c r="D76" s="12"/>
      <c r="E76" s="12"/>
      <c r="F76" s="13" t="str">
        <f aca="false">IF(OR(D76="",E76=""),"",IF(E76&gt;D76,(E76-D76)*24,""))</f>
        <v/>
      </c>
      <c r="G76" s="9"/>
      <c r="H76" s="11" t="str">
        <f aca="false">IF(OR(A76="",B76="",D76="",E76=""),"",IF(E76&lt;=D76,"End before start",IF(COUNTIFS($B$9:$B$208,B76,$D$9:$D$208,"&lt;"&amp;(E76-1/1440),$E$9:$E$208,"&gt;"&amp;(D76+1/1440))&gt;1,"CONFLICT","OK")))</f>
        <v/>
      </c>
    </row>
    <row r="77" customFormat="false" ht="15" hidden="false" customHeight="false" outlineLevel="0" collapsed="false">
      <c r="A77" s="9"/>
      <c r="B77" s="10"/>
      <c r="C77" s="11" t="str">
        <f aca="false">IF(B77="","",CHOOSE(WEEKDAY(B77),"Sun","Mon","Tue","Wed","Thu","Fri","Sat"))</f>
        <v/>
      </c>
      <c r="D77" s="12"/>
      <c r="E77" s="12"/>
      <c r="F77" s="13" t="str">
        <f aca="false">IF(OR(D77="",E77=""),"",IF(E77&gt;D77,(E77-D77)*24,""))</f>
        <v/>
      </c>
      <c r="G77" s="9"/>
      <c r="H77" s="11" t="str">
        <f aca="false">IF(OR(A77="",B77="",D77="",E77=""),"",IF(E77&lt;=D77,"End before start",IF(COUNTIFS($B$9:$B$208,B77,$D$9:$D$208,"&lt;"&amp;(E77-1/1440),$E$9:$E$208,"&gt;"&amp;(D77+1/1440))&gt;1,"CONFLICT","OK")))</f>
        <v/>
      </c>
    </row>
    <row r="78" customFormat="false" ht="15" hidden="false" customHeight="false" outlineLevel="0" collapsed="false">
      <c r="A78" s="9"/>
      <c r="B78" s="10"/>
      <c r="C78" s="11" t="str">
        <f aca="false">IF(B78="","",CHOOSE(WEEKDAY(B78),"Sun","Mon","Tue","Wed","Thu","Fri","Sat"))</f>
        <v/>
      </c>
      <c r="D78" s="12"/>
      <c r="E78" s="12"/>
      <c r="F78" s="13" t="str">
        <f aca="false">IF(OR(D78="",E78=""),"",IF(E78&gt;D78,(E78-D78)*24,""))</f>
        <v/>
      </c>
      <c r="G78" s="9"/>
      <c r="H78" s="11" t="str">
        <f aca="false">IF(OR(A78="",B78="",D78="",E78=""),"",IF(E78&lt;=D78,"End before start",IF(COUNTIFS($B$9:$B$208,B78,$D$9:$D$208,"&lt;"&amp;(E78-1/1440),$E$9:$E$208,"&gt;"&amp;(D78+1/1440))&gt;1,"CONFLICT","OK")))</f>
        <v/>
      </c>
    </row>
    <row r="79" customFormat="false" ht="15" hidden="false" customHeight="false" outlineLevel="0" collapsed="false">
      <c r="A79" s="9"/>
      <c r="B79" s="10"/>
      <c r="C79" s="11" t="str">
        <f aca="false">IF(B79="","",CHOOSE(WEEKDAY(B79),"Sun","Mon","Tue","Wed","Thu","Fri","Sat"))</f>
        <v/>
      </c>
      <c r="D79" s="12"/>
      <c r="E79" s="12"/>
      <c r="F79" s="13" t="str">
        <f aca="false">IF(OR(D79="",E79=""),"",IF(E79&gt;D79,(E79-D79)*24,""))</f>
        <v/>
      </c>
      <c r="G79" s="9"/>
      <c r="H79" s="11" t="str">
        <f aca="false">IF(OR(A79="",B79="",D79="",E79=""),"",IF(E79&lt;=D79,"End before start",IF(COUNTIFS($B$9:$B$208,B79,$D$9:$D$208,"&lt;"&amp;(E79-1/1440),$E$9:$E$208,"&gt;"&amp;(D79+1/1440))&gt;1,"CONFLICT","OK")))</f>
        <v/>
      </c>
    </row>
    <row r="80" customFormat="false" ht="15" hidden="false" customHeight="false" outlineLevel="0" collapsed="false">
      <c r="A80" s="9"/>
      <c r="B80" s="10"/>
      <c r="C80" s="11" t="str">
        <f aca="false">IF(B80="","",CHOOSE(WEEKDAY(B80),"Sun","Mon","Tue","Wed","Thu","Fri","Sat"))</f>
        <v/>
      </c>
      <c r="D80" s="12"/>
      <c r="E80" s="12"/>
      <c r="F80" s="13" t="str">
        <f aca="false">IF(OR(D80="",E80=""),"",IF(E80&gt;D80,(E80-D80)*24,""))</f>
        <v/>
      </c>
      <c r="G80" s="9"/>
      <c r="H80" s="11" t="str">
        <f aca="false">IF(OR(A80="",B80="",D80="",E80=""),"",IF(E80&lt;=D80,"End before start",IF(COUNTIFS($B$9:$B$208,B80,$D$9:$D$208,"&lt;"&amp;(E80-1/1440),$E$9:$E$208,"&gt;"&amp;(D80+1/1440))&gt;1,"CONFLICT","OK")))</f>
        <v/>
      </c>
    </row>
    <row r="81" customFormat="false" ht="15" hidden="false" customHeight="false" outlineLevel="0" collapsed="false">
      <c r="A81" s="9"/>
      <c r="B81" s="10"/>
      <c r="C81" s="11" t="str">
        <f aca="false">IF(B81="","",CHOOSE(WEEKDAY(B81),"Sun","Mon","Tue","Wed","Thu","Fri","Sat"))</f>
        <v/>
      </c>
      <c r="D81" s="12"/>
      <c r="E81" s="12"/>
      <c r="F81" s="13" t="str">
        <f aca="false">IF(OR(D81="",E81=""),"",IF(E81&gt;D81,(E81-D81)*24,""))</f>
        <v/>
      </c>
      <c r="G81" s="9"/>
      <c r="H81" s="11" t="str">
        <f aca="false">IF(OR(A81="",B81="",D81="",E81=""),"",IF(E81&lt;=D81,"End before start",IF(COUNTIFS($B$9:$B$208,B81,$D$9:$D$208,"&lt;"&amp;(E81-1/1440),$E$9:$E$208,"&gt;"&amp;(D81+1/1440))&gt;1,"CONFLICT","OK")))</f>
        <v/>
      </c>
    </row>
    <row r="82" customFormat="false" ht="15" hidden="false" customHeight="false" outlineLevel="0" collapsed="false">
      <c r="A82" s="9"/>
      <c r="B82" s="10"/>
      <c r="C82" s="11" t="str">
        <f aca="false">IF(B82="","",CHOOSE(WEEKDAY(B82),"Sun","Mon","Tue","Wed","Thu","Fri","Sat"))</f>
        <v/>
      </c>
      <c r="D82" s="12"/>
      <c r="E82" s="12"/>
      <c r="F82" s="13" t="str">
        <f aca="false">IF(OR(D82="",E82=""),"",IF(E82&gt;D82,(E82-D82)*24,""))</f>
        <v/>
      </c>
      <c r="G82" s="9"/>
      <c r="H82" s="11" t="str">
        <f aca="false">IF(OR(A82="",B82="",D82="",E82=""),"",IF(E82&lt;=D82,"End before start",IF(COUNTIFS($B$9:$B$208,B82,$D$9:$D$208,"&lt;"&amp;(E82-1/1440),$E$9:$E$208,"&gt;"&amp;(D82+1/1440))&gt;1,"CONFLICT","OK")))</f>
        <v/>
      </c>
    </row>
    <row r="83" customFormat="false" ht="15" hidden="false" customHeight="false" outlineLevel="0" collapsed="false">
      <c r="A83" s="9"/>
      <c r="B83" s="10"/>
      <c r="C83" s="11" t="str">
        <f aca="false">IF(B83="","",CHOOSE(WEEKDAY(B83),"Sun","Mon","Tue","Wed","Thu","Fri","Sat"))</f>
        <v/>
      </c>
      <c r="D83" s="12"/>
      <c r="E83" s="12"/>
      <c r="F83" s="13" t="str">
        <f aca="false">IF(OR(D83="",E83=""),"",IF(E83&gt;D83,(E83-D83)*24,""))</f>
        <v/>
      </c>
      <c r="G83" s="9"/>
      <c r="H83" s="11" t="str">
        <f aca="false">IF(OR(A83="",B83="",D83="",E83=""),"",IF(E83&lt;=D83,"End before start",IF(COUNTIFS($B$9:$B$208,B83,$D$9:$D$208,"&lt;"&amp;(E83-1/1440),$E$9:$E$208,"&gt;"&amp;(D83+1/1440))&gt;1,"CONFLICT","OK")))</f>
        <v/>
      </c>
    </row>
    <row r="84" customFormat="false" ht="15" hidden="false" customHeight="false" outlineLevel="0" collapsed="false">
      <c r="A84" s="9"/>
      <c r="B84" s="10"/>
      <c r="C84" s="11" t="str">
        <f aca="false">IF(B84="","",CHOOSE(WEEKDAY(B84),"Sun","Mon","Tue","Wed","Thu","Fri","Sat"))</f>
        <v/>
      </c>
      <c r="D84" s="12"/>
      <c r="E84" s="12"/>
      <c r="F84" s="13" t="str">
        <f aca="false">IF(OR(D84="",E84=""),"",IF(E84&gt;D84,(E84-D84)*24,""))</f>
        <v/>
      </c>
      <c r="G84" s="9"/>
      <c r="H84" s="11" t="str">
        <f aca="false">IF(OR(A84="",B84="",D84="",E84=""),"",IF(E84&lt;=D84,"End before start",IF(COUNTIFS($B$9:$B$208,B84,$D$9:$D$208,"&lt;"&amp;(E84-1/1440),$E$9:$E$208,"&gt;"&amp;(D84+1/1440))&gt;1,"CONFLICT","OK")))</f>
        <v/>
      </c>
    </row>
    <row r="85" customFormat="false" ht="15" hidden="false" customHeight="false" outlineLevel="0" collapsed="false">
      <c r="A85" s="9"/>
      <c r="B85" s="10"/>
      <c r="C85" s="11" t="str">
        <f aca="false">IF(B85="","",CHOOSE(WEEKDAY(B85),"Sun","Mon","Tue","Wed","Thu","Fri","Sat"))</f>
        <v/>
      </c>
      <c r="D85" s="12"/>
      <c r="E85" s="12"/>
      <c r="F85" s="13" t="str">
        <f aca="false">IF(OR(D85="",E85=""),"",IF(E85&gt;D85,(E85-D85)*24,""))</f>
        <v/>
      </c>
      <c r="G85" s="9"/>
      <c r="H85" s="11" t="str">
        <f aca="false">IF(OR(A85="",B85="",D85="",E85=""),"",IF(E85&lt;=D85,"End before start",IF(COUNTIFS($B$9:$B$208,B85,$D$9:$D$208,"&lt;"&amp;(E85-1/1440),$E$9:$E$208,"&gt;"&amp;(D85+1/1440))&gt;1,"CONFLICT","OK")))</f>
        <v/>
      </c>
    </row>
    <row r="86" customFormat="false" ht="15" hidden="false" customHeight="false" outlineLevel="0" collapsed="false">
      <c r="A86" s="9"/>
      <c r="B86" s="10"/>
      <c r="C86" s="11" t="str">
        <f aca="false">IF(B86="","",CHOOSE(WEEKDAY(B86),"Sun","Mon","Tue","Wed","Thu","Fri","Sat"))</f>
        <v/>
      </c>
      <c r="D86" s="12"/>
      <c r="E86" s="12"/>
      <c r="F86" s="13" t="str">
        <f aca="false">IF(OR(D86="",E86=""),"",IF(E86&gt;D86,(E86-D86)*24,""))</f>
        <v/>
      </c>
      <c r="G86" s="9"/>
      <c r="H86" s="11" t="str">
        <f aca="false">IF(OR(A86="",B86="",D86="",E86=""),"",IF(E86&lt;=D86,"End before start",IF(COUNTIFS($B$9:$B$208,B86,$D$9:$D$208,"&lt;"&amp;(E86-1/1440),$E$9:$E$208,"&gt;"&amp;(D86+1/1440))&gt;1,"CONFLICT","OK")))</f>
        <v/>
      </c>
    </row>
    <row r="87" customFormat="false" ht="15" hidden="false" customHeight="false" outlineLevel="0" collapsed="false">
      <c r="A87" s="9"/>
      <c r="B87" s="10"/>
      <c r="C87" s="11" t="str">
        <f aca="false">IF(B87="","",CHOOSE(WEEKDAY(B87),"Sun","Mon","Tue","Wed","Thu","Fri","Sat"))</f>
        <v/>
      </c>
      <c r="D87" s="12"/>
      <c r="E87" s="12"/>
      <c r="F87" s="13" t="str">
        <f aca="false">IF(OR(D87="",E87=""),"",IF(E87&gt;D87,(E87-D87)*24,""))</f>
        <v/>
      </c>
      <c r="G87" s="9"/>
      <c r="H87" s="11" t="str">
        <f aca="false">IF(OR(A87="",B87="",D87="",E87=""),"",IF(E87&lt;=D87,"End before start",IF(COUNTIFS($B$9:$B$208,B87,$D$9:$D$208,"&lt;"&amp;(E87-1/1440),$E$9:$E$208,"&gt;"&amp;(D87+1/1440))&gt;1,"CONFLICT","OK")))</f>
        <v/>
      </c>
    </row>
    <row r="88" customFormat="false" ht="15" hidden="false" customHeight="false" outlineLevel="0" collapsed="false">
      <c r="A88" s="9"/>
      <c r="B88" s="10"/>
      <c r="C88" s="11" t="str">
        <f aca="false">IF(B88="","",CHOOSE(WEEKDAY(B88),"Sun","Mon","Tue","Wed","Thu","Fri","Sat"))</f>
        <v/>
      </c>
      <c r="D88" s="12"/>
      <c r="E88" s="12"/>
      <c r="F88" s="13" t="str">
        <f aca="false">IF(OR(D88="",E88=""),"",IF(E88&gt;D88,(E88-D88)*24,""))</f>
        <v/>
      </c>
      <c r="G88" s="9"/>
      <c r="H88" s="11" t="str">
        <f aca="false">IF(OR(A88="",B88="",D88="",E88=""),"",IF(E88&lt;=D88,"End before start",IF(COUNTIFS($B$9:$B$208,B88,$D$9:$D$208,"&lt;"&amp;(E88-1/1440),$E$9:$E$208,"&gt;"&amp;(D88+1/1440))&gt;1,"CONFLICT","OK")))</f>
        <v/>
      </c>
    </row>
    <row r="89" customFormat="false" ht="15" hidden="false" customHeight="false" outlineLevel="0" collapsed="false">
      <c r="A89" s="9"/>
      <c r="B89" s="10"/>
      <c r="C89" s="11" t="str">
        <f aca="false">IF(B89="","",CHOOSE(WEEKDAY(B89),"Sun","Mon","Tue","Wed","Thu","Fri","Sat"))</f>
        <v/>
      </c>
      <c r="D89" s="12"/>
      <c r="E89" s="12"/>
      <c r="F89" s="13" t="str">
        <f aca="false">IF(OR(D89="",E89=""),"",IF(E89&gt;D89,(E89-D89)*24,""))</f>
        <v/>
      </c>
      <c r="G89" s="9"/>
      <c r="H89" s="11" t="str">
        <f aca="false">IF(OR(A89="",B89="",D89="",E89=""),"",IF(E89&lt;=D89,"End before start",IF(COUNTIFS($B$9:$B$208,B89,$D$9:$D$208,"&lt;"&amp;(E89-1/1440),$E$9:$E$208,"&gt;"&amp;(D89+1/1440))&gt;1,"CONFLICT","OK")))</f>
        <v/>
      </c>
    </row>
    <row r="90" customFormat="false" ht="15" hidden="false" customHeight="false" outlineLevel="0" collapsed="false">
      <c r="A90" s="9"/>
      <c r="B90" s="10"/>
      <c r="C90" s="11" t="str">
        <f aca="false">IF(B90="","",CHOOSE(WEEKDAY(B90),"Sun","Mon","Tue","Wed","Thu","Fri","Sat"))</f>
        <v/>
      </c>
      <c r="D90" s="12"/>
      <c r="E90" s="12"/>
      <c r="F90" s="13" t="str">
        <f aca="false">IF(OR(D90="",E90=""),"",IF(E90&gt;D90,(E90-D90)*24,""))</f>
        <v/>
      </c>
      <c r="G90" s="9"/>
      <c r="H90" s="11" t="str">
        <f aca="false">IF(OR(A90="",B90="",D90="",E90=""),"",IF(E90&lt;=D90,"End before start",IF(COUNTIFS($B$9:$B$208,B90,$D$9:$D$208,"&lt;"&amp;(E90-1/1440),$E$9:$E$208,"&gt;"&amp;(D90+1/1440))&gt;1,"CONFLICT","OK")))</f>
        <v/>
      </c>
    </row>
    <row r="91" customFormat="false" ht="15" hidden="false" customHeight="false" outlineLevel="0" collapsed="false">
      <c r="A91" s="9"/>
      <c r="B91" s="10"/>
      <c r="C91" s="11" t="str">
        <f aca="false">IF(B91="","",CHOOSE(WEEKDAY(B91),"Sun","Mon","Tue","Wed","Thu","Fri","Sat"))</f>
        <v/>
      </c>
      <c r="D91" s="12"/>
      <c r="E91" s="12"/>
      <c r="F91" s="13" t="str">
        <f aca="false">IF(OR(D91="",E91=""),"",IF(E91&gt;D91,(E91-D91)*24,""))</f>
        <v/>
      </c>
      <c r="G91" s="9"/>
      <c r="H91" s="11" t="str">
        <f aca="false">IF(OR(A91="",B91="",D91="",E91=""),"",IF(E91&lt;=D91,"End before start",IF(COUNTIFS($B$9:$B$208,B91,$D$9:$D$208,"&lt;"&amp;(E91-1/1440),$E$9:$E$208,"&gt;"&amp;(D91+1/1440))&gt;1,"CONFLICT","OK")))</f>
        <v/>
      </c>
    </row>
    <row r="92" customFormat="false" ht="15" hidden="false" customHeight="false" outlineLevel="0" collapsed="false">
      <c r="A92" s="9"/>
      <c r="B92" s="10"/>
      <c r="C92" s="11" t="str">
        <f aca="false">IF(B92="","",CHOOSE(WEEKDAY(B92),"Sun","Mon","Tue","Wed","Thu","Fri","Sat"))</f>
        <v/>
      </c>
      <c r="D92" s="12"/>
      <c r="E92" s="12"/>
      <c r="F92" s="13" t="str">
        <f aca="false">IF(OR(D92="",E92=""),"",IF(E92&gt;D92,(E92-D92)*24,""))</f>
        <v/>
      </c>
      <c r="G92" s="9"/>
      <c r="H92" s="11" t="str">
        <f aca="false">IF(OR(A92="",B92="",D92="",E92=""),"",IF(E92&lt;=D92,"End before start",IF(COUNTIFS($B$9:$B$208,B92,$D$9:$D$208,"&lt;"&amp;(E92-1/1440),$E$9:$E$208,"&gt;"&amp;(D92+1/1440))&gt;1,"CONFLICT","OK")))</f>
        <v/>
      </c>
    </row>
    <row r="93" customFormat="false" ht="15" hidden="false" customHeight="false" outlineLevel="0" collapsed="false">
      <c r="A93" s="9"/>
      <c r="B93" s="10"/>
      <c r="C93" s="11" t="str">
        <f aca="false">IF(B93="","",CHOOSE(WEEKDAY(B93),"Sun","Mon","Tue","Wed","Thu","Fri","Sat"))</f>
        <v/>
      </c>
      <c r="D93" s="12"/>
      <c r="E93" s="12"/>
      <c r="F93" s="13" t="str">
        <f aca="false">IF(OR(D93="",E93=""),"",IF(E93&gt;D93,(E93-D93)*24,""))</f>
        <v/>
      </c>
      <c r="G93" s="9"/>
      <c r="H93" s="11" t="str">
        <f aca="false">IF(OR(A93="",B93="",D93="",E93=""),"",IF(E93&lt;=D93,"End before start",IF(COUNTIFS($B$9:$B$208,B93,$D$9:$D$208,"&lt;"&amp;(E93-1/1440),$E$9:$E$208,"&gt;"&amp;(D93+1/1440))&gt;1,"CONFLICT","OK")))</f>
        <v/>
      </c>
    </row>
    <row r="94" customFormat="false" ht="15" hidden="false" customHeight="false" outlineLevel="0" collapsed="false">
      <c r="A94" s="9"/>
      <c r="B94" s="10"/>
      <c r="C94" s="11" t="str">
        <f aca="false">IF(B94="","",CHOOSE(WEEKDAY(B94),"Sun","Mon","Tue","Wed","Thu","Fri","Sat"))</f>
        <v/>
      </c>
      <c r="D94" s="12"/>
      <c r="E94" s="12"/>
      <c r="F94" s="13" t="str">
        <f aca="false">IF(OR(D94="",E94=""),"",IF(E94&gt;D94,(E94-D94)*24,""))</f>
        <v/>
      </c>
      <c r="G94" s="9"/>
      <c r="H94" s="11" t="str">
        <f aca="false">IF(OR(A94="",B94="",D94="",E94=""),"",IF(E94&lt;=D94,"End before start",IF(COUNTIFS($B$9:$B$208,B94,$D$9:$D$208,"&lt;"&amp;(E94-1/1440),$E$9:$E$208,"&gt;"&amp;(D94+1/1440))&gt;1,"CONFLICT","OK")))</f>
        <v/>
      </c>
    </row>
    <row r="95" customFormat="false" ht="15" hidden="false" customHeight="false" outlineLevel="0" collapsed="false">
      <c r="A95" s="9"/>
      <c r="B95" s="10"/>
      <c r="C95" s="11" t="str">
        <f aca="false">IF(B95="","",CHOOSE(WEEKDAY(B95),"Sun","Mon","Tue","Wed","Thu","Fri","Sat"))</f>
        <v/>
      </c>
      <c r="D95" s="12"/>
      <c r="E95" s="12"/>
      <c r="F95" s="13" t="str">
        <f aca="false">IF(OR(D95="",E95=""),"",IF(E95&gt;D95,(E95-D95)*24,""))</f>
        <v/>
      </c>
      <c r="G95" s="9"/>
      <c r="H95" s="11" t="str">
        <f aca="false">IF(OR(A95="",B95="",D95="",E95=""),"",IF(E95&lt;=D95,"End before start",IF(COUNTIFS($B$9:$B$208,B95,$D$9:$D$208,"&lt;"&amp;(E95-1/1440),$E$9:$E$208,"&gt;"&amp;(D95+1/1440))&gt;1,"CONFLICT","OK")))</f>
        <v/>
      </c>
    </row>
    <row r="96" customFormat="false" ht="15" hidden="false" customHeight="false" outlineLevel="0" collapsed="false">
      <c r="A96" s="9"/>
      <c r="B96" s="10"/>
      <c r="C96" s="11" t="str">
        <f aca="false">IF(B96="","",CHOOSE(WEEKDAY(B96),"Sun","Mon","Tue","Wed","Thu","Fri","Sat"))</f>
        <v/>
      </c>
      <c r="D96" s="12"/>
      <c r="E96" s="12"/>
      <c r="F96" s="13" t="str">
        <f aca="false">IF(OR(D96="",E96=""),"",IF(E96&gt;D96,(E96-D96)*24,""))</f>
        <v/>
      </c>
      <c r="G96" s="9"/>
      <c r="H96" s="11" t="str">
        <f aca="false">IF(OR(A96="",B96="",D96="",E96=""),"",IF(E96&lt;=D96,"End before start",IF(COUNTIFS($B$9:$B$208,B96,$D$9:$D$208,"&lt;"&amp;(E96-1/1440),$E$9:$E$208,"&gt;"&amp;(D96+1/1440))&gt;1,"CONFLICT","OK")))</f>
        <v/>
      </c>
    </row>
    <row r="97" customFormat="false" ht="15" hidden="false" customHeight="false" outlineLevel="0" collapsed="false">
      <c r="A97" s="9"/>
      <c r="B97" s="10"/>
      <c r="C97" s="11" t="str">
        <f aca="false">IF(B97="","",CHOOSE(WEEKDAY(B97),"Sun","Mon","Tue","Wed","Thu","Fri","Sat"))</f>
        <v/>
      </c>
      <c r="D97" s="12"/>
      <c r="E97" s="12"/>
      <c r="F97" s="13" t="str">
        <f aca="false">IF(OR(D97="",E97=""),"",IF(E97&gt;D97,(E97-D97)*24,""))</f>
        <v/>
      </c>
      <c r="G97" s="9"/>
      <c r="H97" s="11" t="str">
        <f aca="false">IF(OR(A97="",B97="",D97="",E97=""),"",IF(E97&lt;=D97,"End before start",IF(COUNTIFS($B$9:$B$208,B97,$D$9:$D$208,"&lt;"&amp;(E97-1/1440),$E$9:$E$208,"&gt;"&amp;(D97+1/1440))&gt;1,"CONFLICT","OK")))</f>
        <v/>
      </c>
    </row>
    <row r="98" customFormat="false" ht="15" hidden="false" customHeight="false" outlineLevel="0" collapsed="false">
      <c r="A98" s="9"/>
      <c r="B98" s="10"/>
      <c r="C98" s="11" t="str">
        <f aca="false">IF(B98="","",CHOOSE(WEEKDAY(B98),"Sun","Mon","Tue","Wed","Thu","Fri","Sat"))</f>
        <v/>
      </c>
      <c r="D98" s="12"/>
      <c r="E98" s="12"/>
      <c r="F98" s="13" t="str">
        <f aca="false">IF(OR(D98="",E98=""),"",IF(E98&gt;D98,(E98-D98)*24,""))</f>
        <v/>
      </c>
      <c r="G98" s="9"/>
      <c r="H98" s="11" t="str">
        <f aca="false">IF(OR(A98="",B98="",D98="",E98=""),"",IF(E98&lt;=D98,"End before start",IF(COUNTIFS($B$9:$B$208,B98,$D$9:$D$208,"&lt;"&amp;(E98-1/1440),$E$9:$E$208,"&gt;"&amp;(D98+1/1440))&gt;1,"CONFLICT","OK")))</f>
        <v/>
      </c>
    </row>
    <row r="99" customFormat="false" ht="15" hidden="false" customHeight="false" outlineLevel="0" collapsed="false">
      <c r="A99" s="9"/>
      <c r="B99" s="10"/>
      <c r="C99" s="11" t="str">
        <f aca="false">IF(B99="","",CHOOSE(WEEKDAY(B99),"Sun","Mon","Tue","Wed","Thu","Fri","Sat"))</f>
        <v/>
      </c>
      <c r="D99" s="12"/>
      <c r="E99" s="12"/>
      <c r="F99" s="13" t="str">
        <f aca="false">IF(OR(D99="",E99=""),"",IF(E99&gt;D99,(E99-D99)*24,""))</f>
        <v/>
      </c>
      <c r="G99" s="9"/>
      <c r="H99" s="11" t="str">
        <f aca="false">IF(OR(A99="",B99="",D99="",E99=""),"",IF(E99&lt;=D99,"End before start",IF(COUNTIFS($B$9:$B$208,B99,$D$9:$D$208,"&lt;"&amp;(E99-1/1440),$E$9:$E$208,"&gt;"&amp;(D99+1/1440))&gt;1,"CONFLICT","OK")))</f>
        <v/>
      </c>
    </row>
    <row r="100" customFormat="false" ht="15" hidden="false" customHeight="false" outlineLevel="0" collapsed="false">
      <c r="A100" s="9"/>
      <c r="B100" s="10"/>
      <c r="C100" s="11" t="str">
        <f aca="false">IF(B100="","",CHOOSE(WEEKDAY(B100),"Sun","Mon","Tue","Wed","Thu","Fri","Sat"))</f>
        <v/>
      </c>
      <c r="D100" s="12"/>
      <c r="E100" s="12"/>
      <c r="F100" s="13" t="str">
        <f aca="false">IF(OR(D100="",E100=""),"",IF(E100&gt;D100,(E100-D100)*24,""))</f>
        <v/>
      </c>
      <c r="G100" s="9"/>
      <c r="H100" s="11" t="str">
        <f aca="false">IF(OR(A100="",B100="",D100="",E100=""),"",IF(E100&lt;=D100,"End before start",IF(COUNTIFS($B$9:$B$208,B100,$D$9:$D$208,"&lt;"&amp;(E100-1/1440),$E$9:$E$208,"&gt;"&amp;(D100+1/1440))&gt;1,"CONFLICT","OK")))</f>
        <v/>
      </c>
    </row>
    <row r="101" customFormat="false" ht="15" hidden="false" customHeight="false" outlineLevel="0" collapsed="false">
      <c r="A101" s="9"/>
      <c r="B101" s="10"/>
      <c r="C101" s="11" t="str">
        <f aca="false">IF(B101="","",CHOOSE(WEEKDAY(B101),"Sun","Mon","Tue","Wed","Thu","Fri","Sat"))</f>
        <v/>
      </c>
      <c r="D101" s="12"/>
      <c r="E101" s="12"/>
      <c r="F101" s="13" t="str">
        <f aca="false">IF(OR(D101="",E101=""),"",IF(E101&gt;D101,(E101-D101)*24,""))</f>
        <v/>
      </c>
      <c r="G101" s="9"/>
      <c r="H101" s="11" t="str">
        <f aca="false">IF(OR(A101="",B101="",D101="",E101=""),"",IF(E101&lt;=D101,"End before start",IF(COUNTIFS($B$9:$B$208,B101,$D$9:$D$208,"&lt;"&amp;(E101-1/1440),$E$9:$E$208,"&gt;"&amp;(D101+1/1440))&gt;1,"CONFLICT","OK")))</f>
        <v/>
      </c>
    </row>
    <row r="102" customFormat="false" ht="15" hidden="false" customHeight="false" outlineLevel="0" collapsed="false">
      <c r="A102" s="9"/>
      <c r="B102" s="10"/>
      <c r="C102" s="11" t="str">
        <f aca="false">IF(B102="","",CHOOSE(WEEKDAY(B102),"Sun","Mon","Tue","Wed","Thu","Fri","Sat"))</f>
        <v/>
      </c>
      <c r="D102" s="12"/>
      <c r="E102" s="12"/>
      <c r="F102" s="13" t="str">
        <f aca="false">IF(OR(D102="",E102=""),"",IF(E102&gt;D102,(E102-D102)*24,""))</f>
        <v/>
      </c>
      <c r="G102" s="9"/>
      <c r="H102" s="11" t="str">
        <f aca="false">IF(OR(A102="",B102="",D102="",E102=""),"",IF(E102&lt;=D102,"End before start",IF(COUNTIFS($B$9:$B$208,B102,$D$9:$D$208,"&lt;"&amp;(E102-1/1440),$E$9:$E$208,"&gt;"&amp;(D102+1/1440))&gt;1,"CONFLICT","OK")))</f>
        <v/>
      </c>
    </row>
    <row r="103" customFormat="false" ht="15" hidden="false" customHeight="false" outlineLevel="0" collapsed="false">
      <c r="A103" s="9"/>
      <c r="B103" s="10"/>
      <c r="C103" s="11" t="str">
        <f aca="false">IF(B103="","",CHOOSE(WEEKDAY(B103),"Sun","Mon","Tue","Wed","Thu","Fri","Sat"))</f>
        <v/>
      </c>
      <c r="D103" s="12"/>
      <c r="E103" s="12"/>
      <c r="F103" s="13" t="str">
        <f aca="false">IF(OR(D103="",E103=""),"",IF(E103&gt;D103,(E103-D103)*24,""))</f>
        <v/>
      </c>
      <c r="G103" s="9"/>
      <c r="H103" s="11" t="str">
        <f aca="false">IF(OR(A103="",B103="",D103="",E103=""),"",IF(E103&lt;=D103,"End before start",IF(COUNTIFS($B$9:$B$208,B103,$D$9:$D$208,"&lt;"&amp;(E103-1/1440),$E$9:$E$208,"&gt;"&amp;(D103+1/1440))&gt;1,"CONFLICT","OK")))</f>
        <v/>
      </c>
    </row>
    <row r="104" customFormat="false" ht="15" hidden="false" customHeight="false" outlineLevel="0" collapsed="false">
      <c r="A104" s="9"/>
      <c r="B104" s="10"/>
      <c r="C104" s="11" t="str">
        <f aca="false">IF(B104="","",CHOOSE(WEEKDAY(B104),"Sun","Mon","Tue","Wed","Thu","Fri","Sat"))</f>
        <v/>
      </c>
      <c r="D104" s="12"/>
      <c r="E104" s="12"/>
      <c r="F104" s="13" t="str">
        <f aca="false">IF(OR(D104="",E104=""),"",IF(E104&gt;D104,(E104-D104)*24,""))</f>
        <v/>
      </c>
      <c r="G104" s="9"/>
      <c r="H104" s="11" t="str">
        <f aca="false">IF(OR(A104="",B104="",D104="",E104=""),"",IF(E104&lt;=D104,"End before start",IF(COUNTIFS($B$9:$B$208,B104,$D$9:$D$208,"&lt;"&amp;(E104-1/1440),$E$9:$E$208,"&gt;"&amp;(D104+1/1440))&gt;1,"CONFLICT","OK")))</f>
        <v/>
      </c>
    </row>
    <row r="105" customFormat="false" ht="15" hidden="false" customHeight="false" outlineLevel="0" collapsed="false">
      <c r="A105" s="9"/>
      <c r="B105" s="10"/>
      <c r="C105" s="11" t="str">
        <f aca="false">IF(B105="","",CHOOSE(WEEKDAY(B105),"Sun","Mon","Tue","Wed","Thu","Fri","Sat"))</f>
        <v/>
      </c>
      <c r="D105" s="12"/>
      <c r="E105" s="12"/>
      <c r="F105" s="13" t="str">
        <f aca="false">IF(OR(D105="",E105=""),"",IF(E105&gt;D105,(E105-D105)*24,""))</f>
        <v/>
      </c>
      <c r="G105" s="9"/>
      <c r="H105" s="11" t="str">
        <f aca="false">IF(OR(A105="",B105="",D105="",E105=""),"",IF(E105&lt;=D105,"End before start",IF(COUNTIFS($B$9:$B$208,B105,$D$9:$D$208,"&lt;"&amp;(E105-1/1440),$E$9:$E$208,"&gt;"&amp;(D105+1/1440))&gt;1,"CONFLICT","OK")))</f>
        <v/>
      </c>
    </row>
    <row r="106" customFormat="false" ht="15" hidden="false" customHeight="false" outlineLevel="0" collapsed="false">
      <c r="A106" s="9"/>
      <c r="B106" s="10"/>
      <c r="C106" s="11" t="str">
        <f aca="false">IF(B106="","",CHOOSE(WEEKDAY(B106),"Sun","Mon","Tue","Wed","Thu","Fri","Sat"))</f>
        <v/>
      </c>
      <c r="D106" s="12"/>
      <c r="E106" s="12"/>
      <c r="F106" s="13" t="str">
        <f aca="false">IF(OR(D106="",E106=""),"",IF(E106&gt;D106,(E106-D106)*24,""))</f>
        <v/>
      </c>
      <c r="G106" s="9"/>
      <c r="H106" s="11" t="str">
        <f aca="false">IF(OR(A106="",B106="",D106="",E106=""),"",IF(E106&lt;=D106,"End before start",IF(COUNTIFS($B$9:$B$208,B106,$D$9:$D$208,"&lt;"&amp;(E106-1/1440),$E$9:$E$208,"&gt;"&amp;(D106+1/1440))&gt;1,"CONFLICT","OK")))</f>
        <v/>
      </c>
    </row>
    <row r="107" customFormat="false" ht="15" hidden="false" customHeight="false" outlineLevel="0" collapsed="false">
      <c r="A107" s="9"/>
      <c r="B107" s="10"/>
      <c r="C107" s="11" t="str">
        <f aca="false">IF(B107="","",CHOOSE(WEEKDAY(B107),"Sun","Mon","Tue","Wed","Thu","Fri","Sat"))</f>
        <v/>
      </c>
      <c r="D107" s="12"/>
      <c r="E107" s="12"/>
      <c r="F107" s="13" t="str">
        <f aca="false">IF(OR(D107="",E107=""),"",IF(E107&gt;D107,(E107-D107)*24,""))</f>
        <v/>
      </c>
      <c r="G107" s="9"/>
      <c r="H107" s="11" t="str">
        <f aca="false">IF(OR(A107="",B107="",D107="",E107=""),"",IF(E107&lt;=D107,"End before start",IF(COUNTIFS($B$9:$B$208,B107,$D$9:$D$208,"&lt;"&amp;(E107-1/1440),$E$9:$E$208,"&gt;"&amp;(D107+1/1440))&gt;1,"CONFLICT","OK")))</f>
        <v/>
      </c>
    </row>
    <row r="108" customFormat="false" ht="15" hidden="false" customHeight="false" outlineLevel="0" collapsed="false">
      <c r="A108" s="9"/>
      <c r="B108" s="10"/>
      <c r="C108" s="11" t="str">
        <f aca="false">IF(B108="","",CHOOSE(WEEKDAY(B108),"Sun","Mon","Tue","Wed","Thu","Fri","Sat"))</f>
        <v/>
      </c>
      <c r="D108" s="12"/>
      <c r="E108" s="12"/>
      <c r="F108" s="13" t="str">
        <f aca="false">IF(OR(D108="",E108=""),"",IF(E108&gt;D108,(E108-D108)*24,""))</f>
        <v/>
      </c>
      <c r="G108" s="9"/>
      <c r="H108" s="11" t="str">
        <f aca="false">IF(OR(A108="",B108="",D108="",E108=""),"",IF(E108&lt;=D108,"End before start",IF(COUNTIFS($B$9:$B$208,B108,$D$9:$D$208,"&lt;"&amp;(E108-1/1440),$E$9:$E$208,"&gt;"&amp;(D108+1/1440))&gt;1,"CONFLICT","OK")))</f>
        <v/>
      </c>
    </row>
    <row r="109" customFormat="false" ht="15" hidden="false" customHeight="false" outlineLevel="0" collapsed="false">
      <c r="A109" s="9"/>
      <c r="B109" s="10"/>
      <c r="C109" s="11" t="str">
        <f aca="false">IF(B109="","",CHOOSE(WEEKDAY(B109),"Sun","Mon","Tue","Wed","Thu","Fri","Sat"))</f>
        <v/>
      </c>
      <c r="D109" s="12"/>
      <c r="E109" s="12"/>
      <c r="F109" s="13" t="str">
        <f aca="false">IF(OR(D109="",E109=""),"",IF(E109&gt;D109,(E109-D109)*24,""))</f>
        <v/>
      </c>
      <c r="G109" s="9"/>
      <c r="H109" s="11" t="str">
        <f aca="false">IF(OR(A109="",B109="",D109="",E109=""),"",IF(E109&lt;=D109,"End before start",IF(COUNTIFS($B$9:$B$208,B109,$D$9:$D$208,"&lt;"&amp;(E109-1/1440),$E$9:$E$208,"&gt;"&amp;(D109+1/1440))&gt;1,"CONFLICT","OK")))</f>
        <v/>
      </c>
    </row>
    <row r="110" customFormat="false" ht="15" hidden="false" customHeight="false" outlineLevel="0" collapsed="false">
      <c r="A110" s="9"/>
      <c r="B110" s="10"/>
      <c r="C110" s="11" t="str">
        <f aca="false">IF(B110="","",CHOOSE(WEEKDAY(B110),"Sun","Mon","Tue","Wed","Thu","Fri","Sat"))</f>
        <v/>
      </c>
      <c r="D110" s="12"/>
      <c r="E110" s="12"/>
      <c r="F110" s="13" t="str">
        <f aca="false">IF(OR(D110="",E110=""),"",IF(E110&gt;D110,(E110-D110)*24,""))</f>
        <v/>
      </c>
      <c r="G110" s="9"/>
      <c r="H110" s="11" t="str">
        <f aca="false">IF(OR(A110="",B110="",D110="",E110=""),"",IF(E110&lt;=D110,"End before start",IF(COUNTIFS($B$9:$B$208,B110,$D$9:$D$208,"&lt;"&amp;(E110-1/1440),$E$9:$E$208,"&gt;"&amp;(D110+1/1440))&gt;1,"CONFLICT","OK")))</f>
        <v/>
      </c>
    </row>
    <row r="111" customFormat="false" ht="15" hidden="false" customHeight="false" outlineLevel="0" collapsed="false">
      <c r="A111" s="9"/>
      <c r="B111" s="10"/>
      <c r="C111" s="11" t="str">
        <f aca="false">IF(B111="","",CHOOSE(WEEKDAY(B111),"Sun","Mon","Tue","Wed","Thu","Fri","Sat"))</f>
        <v/>
      </c>
      <c r="D111" s="12"/>
      <c r="E111" s="12"/>
      <c r="F111" s="13" t="str">
        <f aca="false">IF(OR(D111="",E111=""),"",IF(E111&gt;D111,(E111-D111)*24,""))</f>
        <v/>
      </c>
      <c r="G111" s="9"/>
      <c r="H111" s="11" t="str">
        <f aca="false">IF(OR(A111="",B111="",D111="",E111=""),"",IF(E111&lt;=D111,"End before start",IF(COUNTIFS($B$9:$B$208,B111,$D$9:$D$208,"&lt;"&amp;(E111-1/1440),$E$9:$E$208,"&gt;"&amp;(D111+1/1440))&gt;1,"CONFLICT","OK")))</f>
        <v/>
      </c>
    </row>
    <row r="112" customFormat="false" ht="15" hidden="false" customHeight="false" outlineLevel="0" collapsed="false">
      <c r="A112" s="9"/>
      <c r="B112" s="10"/>
      <c r="C112" s="11" t="str">
        <f aca="false">IF(B112="","",CHOOSE(WEEKDAY(B112),"Sun","Mon","Tue","Wed","Thu","Fri","Sat"))</f>
        <v/>
      </c>
      <c r="D112" s="12"/>
      <c r="E112" s="12"/>
      <c r="F112" s="13" t="str">
        <f aca="false">IF(OR(D112="",E112=""),"",IF(E112&gt;D112,(E112-D112)*24,""))</f>
        <v/>
      </c>
      <c r="G112" s="9"/>
      <c r="H112" s="11" t="str">
        <f aca="false">IF(OR(A112="",B112="",D112="",E112=""),"",IF(E112&lt;=D112,"End before start",IF(COUNTIFS($B$9:$B$208,B112,$D$9:$D$208,"&lt;"&amp;(E112-1/1440),$E$9:$E$208,"&gt;"&amp;(D112+1/1440))&gt;1,"CONFLICT","OK")))</f>
        <v/>
      </c>
    </row>
    <row r="113" customFormat="false" ht="15" hidden="false" customHeight="false" outlineLevel="0" collapsed="false">
      <c r="A113" s="9"/>
      <c r="B113" s="10"/>
      <c r="C113" s="11" t="str">
        <f aca="false">IF(B113="","",CHOOSE(WEEKDAY(B113),"Sun","Mon","Tue","Wed","Thu","Fri","Sat"))</f>
        <v/>
      </c>
      <c r="D113" s="12"/>
      <c r="E113" s="12"/>
      <c r="F113" s="13" t="str">
        <f aca="false">IF(OR(D113="",E113=""),"",IF(E113&gt;D113,(E113-D113)*24,""))</f>
        <v/>
      </c>
      <c r="G113" s="9"/>
      <c r="H113" s="11" t="str">
        <f aca="false">IF(OR(A113="",B113="",D113="",E113=""),"",IF(E113&lt;=D113,"End before start",IF(COUNTIFS($B$9:$B$208,B113,$D$9:$D$208,"&lt;"&amp;(E113-1/1440),$E$9:$E$208,"&gt;"&amp;(D113+1/1440))&gt;1,"CONFLICT","OK")))</f>
        <v/>
      </c>
    </row>
    <row r="114" customFormat="false" ht="15" hidden="false" customHeight="false" outlineLevel="0" collapsed="false">
      <c r="A114" s="9"/>
      <c r="B114" s="10"/>
      <c r="C114" s="11" t="str">
        <f aca="false">IF(B114="","",CHOOSE(WEEKDAY(B114),"Sun","Mon","Tue","Wed","Thu","Fri","Sat"))</f>
        <v/>
      </c>
      <c r="D114" s="12"/>
      <c r="E114" s="12"/>
      <c r="F114" s="13" t="str">
        <f aca="false">IF(OR(D114="",E114=""),"",IF(E114&gt;D114,(E114-D114)*24,""))</f>
        <v/>
      </c>
      <c r="G114" s="9"/>
      <c r="H114" s="11" t="str">
        <f aca="false">IF(OR(A114="",B114="",D114="",E114=""),"",IF(E114&lt;=D114,"End before start",IF(COUNTIFS($B$9:$B$208,B114,$D$9:$D$208,"&lt;"&amp;(E114-1/1440),$E$9:$E$208,"&gt;"&amp;(D114+1/1440))&gt;1,"CONFLICT","OK")))</f>
        <v/>
      </c>
    </row>
    <row r="115" customFormat="false" ht="15" hidden="false" customHeight="false" outlineLevel="0" collapsed="false">
      <c r="A115" s="9"/>
      <c r="B115" s="10"/>
      <c r="C115" s="11" t="str">
        <f aca="false">IF(B115="","",CHOOSE(WEEKDAY(B115),"Sun","Mon","Tue","Wed","Thu","Fri","Sat"))</f>
        <v/>
      </c>
      <c r="D115" s="12"/>
      <c r="E115" s="12"/>
      <c r="F115" s="13" t="str">
        <f aca="false">IF(OR(D115="",E115=""),"",IF(E115&gt;D115,(E115-D115)*24,""))</f>
        <v/>
      </c>
      <c r="G115" s="9"/>
      <c r="H115" s="11" t="str">
        <f aca="false">IF(OR(A115="",B115="",D115="",E115=""),"",IF(E115&lt;=D115,"End before start",IF(COUNTIFS($B$9:$B$208,B115,$D$9:$D$208,"&lt;"&amp;(E115-1/1440),$E$9:$E$208,"&gt;"&amp;(D115+1/1440))&gt;1,"CONFLICT","OK")))</f>
        <v/>
      </c>
    </row>
    <row r="116" customFormat="false" ht="15" hidden="false" customHeight="false" outlineLevel="0" collapsed="false">
      <c r="A116" s="9"/>
      <c r="B116" s="10"/>
      <c r="C116" s="11" t="str">
        <f aca="false">IF(B116="","",CHOOSE(WEEKDAY(B116),"Sun","Mon","Tue","Wed","Thu","Fri","Sat"))</f>
        <v/>
      </c>
      <c r="D116" s="12"/>
      <c r="E116" s="12"/>
      <c r="F116" s="13" t="str">
        <f aca="false">IF(OR(D116="",E116=""),"",IF(E116&gt;D116,(E116-D116)*24,""))</f>
        <v/>
      </c>
      <c r="G116" s="9"/>
      <c r="H116" s="11" t="str">
        <f aca="false">IF(OR(A116="",B116="",D116="",E116=""),"",IF(E116&lt;=D116,"End before start",IF(COUNTIFS($B$9:$B$208,B116,$D$9:$D$208,"&lt;"&amp;(E116-1/1440),$E$9:$E$208,"&gt;"&amp;(D116+1/1440))&gt;1,"CONFLICT","OK")))</f>
        <v/>
      </c>
    </row>
    <row r="117" customFormat="false" ht="15" hidden="false" customHeight="false" outlineLevel="0" collapsed="false">
      <c r="A117" s="9"/>
      <c r="B117" s="10"/>
      <c r="C117" s="11" t="str">
        <f aca="false">IF(B117="","",CHOOSE(WEEKDAY(B117),"Sun","Mon","Tue","Wed","Thu","Fri","Sat"))</f>
        <v/>
      </c>
      <c r="D117" s="12"/>
      <c r="E117" s="12"/>
      <c r="F117" s="13" t="str">
        <f aca="false">IF(OR(D117="",E117=""),"",IF(E117&gt;D117,(E117-D117)*24,""))</f>
        <v/>
      </c>
      <c r="G117" s="9"/>
      <c r="H117" s="11" t="str">
        <f aca="false">IF(OR(A117="",B117="",D117="",E117=""),"",IF(E117&lt;=D117,"End before start",IF(COUNTIFS($B$9:$B$208,B117,$D$9:$D$208,"&lt;"&amp;(E117-1/1440),$E$9:$E$208,"&gt;"&amp;(D117+1/1440))&gt;1,"CONFLICT","OK")))</f>
        <v/>
      </c>
    </row>
    <row r="118" customFormat="false" ht="15" hidden="false" customHeight="false" outlineLevel="0" collapsed="false">
      <c r="A118" s="9"/>
      <c r="B118" s="10"/>
      <c r="C118" s="11" t="str">
        <f aca="false">IF(B118="","",CHOOSE(WEEKDAY(B118),"Sun","Mon","Tue","Wed","Thu","Fri","Sat"))</f>
        <v/>
      </c>
      <c r="D118" s="12"/>
      <c r="E118" s="12"/>
      <c r="F118" s="13" t="str">
        <f aca="false">IF(OR(D118="",E118=""),"",IF(E118&gt;D118,(E118-D118)*24,""))</f>
        <v/>
      </c>
      <c r="G118" s="9"/>
      <c r="H118" s="11" t="str">
        <f aca="false">IF(OR(A118="",B118="",D118="",E118=""),"",IF(E118&lt;=D118,"End before start",IF(COUNTIFS($B$9:$B$208,B118,$D$9:$D$208,"&lt;"&amp;(E118-1/1440),$E$9:$E$208,"&gt;"&amp;(D118+1/1440))&gt;1,"CONFLICT","OK")))</f>
        <v/>
      </c>
    </row>
    <row r="119" customFormat="false" ht="15" hidden="false" customHeight="false" outlineLevel="0" collapsed="false">
      <c r="A119" s="9"/>
      <c r="B119" s="10"/>
      <c r="C119" s="11" t="str">
        <f aca="false">IF(B119="","",CHOOSE(WEEKDAY(B119),"Sun","Mon","Tue","Wed","Thu","Fri","Sat"))</f>
        <v/>
      </c>
      <c r="D119" s="12"/>
      <c r="E119" s="12"/>
      <c r="F119" s="13" t="str">
        <f aca="false">IF(OR(D119="",E119=""),"",IF(E119&gt;D119,(E119-D119)*24,""))</f>
        <v/>
      </c>
      <c r="G119" s="9"/>
      <c r="H119" s="11" t="str">
        <f aca="false">IF(OR(A119="",B119="",D119="",E119=""),"",IF(E119&lt;=D119,"End before start",IF(COUNTIFS($B$9:$B$208,B119,$D$9:$D$208,"&lt;"&amp;(E119-1/1440),$E$9:$E$208,"&gt;"&amp;(D119+1/1440))&gt;1,"CONFLICT","OK")))</f>
        <v/>
      </c>
    </row>
    <row r="120" customFormat="false" ht="15" hidden="false" customHeight="false" outlineLevel="0" collapsed="false">
      <c r="A120" s="9"/>
      <c r="B120" s="10"/>
      <c r="C120" s="11" t="str">
        <f aca="false">IF(B120="","",CHOOSE(WEEKDAY(B120),"Sun","Mon","Tue","Wed","Thu","Fri","Sat"))</f>
        <v/>
      </c>
      <c r="D120" s="12"/>
      <c r="E120" s="12"/>
      <c r="F120" s="13" t="str">
        <f aca="false">IF(OR(D120="",E120=""),"",IF(E120&gt;D120,(E120-D120)*24,""))</f>
        <v/>
      </c>
      <c r="G120" s="9"/>
      <c r="H120" s="11" t="str">
        <f aca="false">IF(OR(A120="",B120="",D120="",E120=""),"",IF(E120&lt;=D120,"End before start",IF(COUNTIFS($B$9:$B$208,B120,$D$9:$D$208,"&lt;"&amp;(E120-1/1440),$E$9:$E$208,"&gt;"&amp;(D120+1/1440))&gt;1,"CONFLICT","OK")))</f>
        <v/>
      </c>
    </row>
    <row r="121" customFormat="false" ht="15" hidden="false" customHeight="false" outlineLevel="0" collapsed="false">
      <c r="A121" s="9"/>
      <c r="B121" s="10"/>
      <c r="C121" s="11" t="str">
        <f aca="false">IF(B121="","",CHOOSE(WEEKDAY(B121),"Sun","Mon","Tue","Wed","Thu","Fri","Sat"))</f>
        <v/>
      </c>
      <c r="D121" s="12"/>
      <c r="E121" s="12"/>
      <c r="F121" s="13" t="str">
        <f aca="false">IF(OR(D121="",E121=""),"",IF(E121&gt;D121,(E121-D121)*24,""))</f>
        <v/>
      </c>
      <c r="G121" s="9"/>
      <c r="H121" s="11" t="str">
        <f aca="false">IF(OR(A121="",B121="",D121="",E121=""),"",IF(E121&lt;=D121,"End before start",IF(COUNTIFS($B$9:$B$208,B121,$D$9:$D$208,"&lt;"&amp;(E121-1/1440),$E$9:$E$208,"&gt;"&amp;(D121+1/1440))&gt;1,"CONFLICT","OK")))</f>
        <v/>
      </c>
    </row>
    <row r="122" customFormat="false" ht="15" hidden="false" customHeight="false" outlineLevel="0" collapsed="false">
      <c r="A122" s="9"/>
      <c r="B122" s="10"/>
      <c r="C122" s="11" t="str">
        <f aca="false">IF(B122="","",CHOOSE(WEEKDAY(B122),"Sun","Mon","Tue","Wed","Thu","Fri","Sat"))</f>
        <v/>
      </c>
      <c r="D122" s="12"/>
      <c r="E122" s="12"/>
      <c r="F122" s="13" t="str">
        <f aca="false">IF(OR(D122="",E122=""),"",IF(E122&gt;D122,(E122-D122)*24,""))</f>
        <v/>
      </c>
      <c r="G122" s="9"/>
      <c r="H122" s="11" t="str">
        <f aca="false">IF(OR(A122="",B122="",D122="",E122=""),"",IF(E122&lt;=D122,"End before start",IF(COUNTIFS($B$9:$B$208,B122,$D$9:$D$208,"&lt;"&amp;(E122-1/1440),$E$9:$E$208,"&gt;"&amp;(D122+1/1440))&gt;1,"CONFLICT","OK")))</f>
        <v/>
      </c>
    </row>
    <row r="123" customFormat="false" ht="15" hidden="false" customHeight="false" outlineLevel="0" collapsed="false">
      <c r="A123" s="9"/>
      <c r="B123" s="10"/>
      <c r="C123" s="11" t="str">
        <f aca="false">IF(B123="","",CHOOSE(WEEKDAY(B123),"Sun","Mon","Tue","Wed","Thu","Fri","Sat"))</f>
        <v/>
      </c>
      <c r="D123" s="12"/>
      <c r="E123" s="12"/>
      <c r="F123" s="13" t="str">
        <f aca="false">IF(OR(D123="",E123=""),"",IF(E123&gt;D123,(E123-D123)*24,""))</f>
        <v/>
      </c>
      <c r="G123" s="9"/>
      <c r="H123" s="11" t="str">
        <f aca="false">IF(OR(A123="",B123="",D123="",E123=""),"",IF(E123&lt;=D123,"End before start",IF(COUNTIFS($B$9:$B$208,B123,$D$9:$D$208,"&lt;"&amp;(E123-1/1440),$E$9:$E$208,"&gt;"&amp;(D123+1/1440))&gt;1,"CONFLICT","OK")))</f>
        <v/>
      </c>
    </row>
    <row r="124" customFormat="false" ht="15" hidden="false" customHeight="false" outlineLevel="0" collapsed="false">
      <c r="A124" s="9"/>
      <c r="B124" s="10"/>
      <c r="C124" s="11" t="str">
        <f aca="false">IF(B124="","",CHOOSE(WEEKDAY(B124),"Sun","Mon","Tue","Wed","Thu","Fri","Sat"))</f>
        <v/>
      </c>
      <c r="D124" s="12"/>
      <c r="E124" s="12"/>
      <c r="F124" s="13" t="str">
        <f aca="false">IF(OR(D124="",E124=""),"",IF(E124&gt;D124,(E124-D124)*24,""))</f>
        <v/>
      </c>
      <c r="G124" s="9"/>
      <c r="H124" s="11" t="str">
        <f aca="false">IF(OR(A124="",B124="",D124="",E124=""),"",IF(E124&lt;=D124,"End before start",IF(COUNTIFS($B$9:$B$208,B124,$D$9:$D$208,"&lt;"&amp;(E124-1/1440),$E$9:$E$208,"&gt;"&amp;(D124+1/1440))&gt;1,"CONFLICT","OK")))</f>
        <v/>
      </c>
    </row>
    <row r="125" customFormat="false" ht="15" hidden="false" customHeight="false" outlineLevel="0" collapsed="false">
      <c r="A125" s="9"/>
      <c r="B125" s="10"/>
      <c r="C125" s="11" t="str">
        <f aca="false">IF(B125="","",CHOOSE(WEEKDAY(B125),"Sun","Mon","Tue","Wed","Thu","Fri","Sat"))</f>
        <v/>
      </c>
      <c r="D125" s="12"/>
      <c r="E125" s="12"/>
      <c r="F125" s="13" t="str">
        <f aca="false">IF(OR(D125="",E125=""),"",IF(E125&gt;D125,(E125-D125)*24,""))</f>
        <v/>
      </c>
      <c r="G125" s="9"/>
      <c r="H125" s="11" t="str">
        <f aca="false">IF(OR(A125="",B125="",D125="",E125=""),"",IF(E125&lt;=D125,"End before start",IF(COUNTIFS($B$9:$B$208,B125,$D$9:$D$208,"&lt;"&amp;(E125-1/1440),$E$9:$E$208,"&gt;"&amp;(D125+1/1440))&gt;1,"CONFLICT","OK")))</f>
        <v/>
      </c>
    </row>
    <row r="126" customFormat="false" ht="15" hidden="false" customHeight="false" outlineLevel="0" collapsed="false">
      <c r="A126" s="9"/>
      <c r="B126" s="10"/>
      <c r="C126" s="11" t="str">
        <f aca="false">IF(B126="","",CHOOSE(WEEKDAY(B126),"Sun","Mon","Tue","Wed","Thu","Fri","Sat"))</f>
        <v/>
      </c>
      <c r="D126" s="12"/>
      <c r="E126" s="12"/>
      <c r="F126" s="13" t="str">
        <f aca="false">IF(OR(D126="",E126=""),"",IF(E126&gt;D126,(E126-D126)*24,""))</f>
        <v/>
      </c>
      <c r="G126" s="9"/>
      <c r="H126" s="11" t="str">
        <f aca="false">IF(OR(A126="",B126="",D126="",E126=""),"",IF(E126&lt;=D126,"End before start",IF(COUNTIFS($B$9:$B$208,B126,$D$9:$D$208,"&lt;"&amp;(E126-1/1440),$E$9:$E$208,"&gt;"&amp;(D126+1/1440))&gt;1,"CONFLICT","OK")))</f>
        <v/>
      </c>
    </row>
    <row r="127" customFormat="false" ht="15" hidden="false" customHeight="false" outlineLevel="0" collapsed="false">
      <c r="A127" s="9"/>
      <c r="B127" s="10"/>
      <c r="C127" s="11" t="str">
        <f aca="false">IF(B127="","",CHOOSE(WEEKDAY(B127),"Sun","Mon","Tue","Wed","Thu","Fri","Sat"))</f>
        <v/>
      </c>
      <c r="D127" s="12"/>
      <c r="E127" s="12"/>
      <c r="F127" s="13" t="str">
        <f aca="false">IF(OR(D127="",E127=""),"",IF(E127&gt;D127,(E127-D127)*24,""))</f>
        <v/>
      </c>
      <c r="G127" s="9"/>
      <c r="H127" s="11" t="str">
        <f aca="false">IF(OR(A127="",B127="",D127="",E127=""),"",IF(E127&lt;=D127,"End before start",IF(COUNTIFS($B$9:$B$208,B127,$D$9:$D$208,"&lt;"&amp;(E127-1/1440),$E$9:$E$208,"&gt;"&amp;(D127+1/1440))&gt;1,"CONFLICT","OK")))</f>
        <v/>
      </c>
    </row>
    <row r="128" customFormat="false" ht="15" hidden="false" customHeight="false" outlineLevel="0" collapsed="false">
      <c r="A128" s="9"/>
      <c r="B128" s="10"/>
      <c r="C128" s="11" t="str">
        <f aca="false">IF(B128="","",CHOOSE(WEEKDAY(B128),"Sun","Mon","Tue","Wed","Thu","Fri","Sat"))</f>
        <v/>
      </c>
      <c r="D128" s="12"/>
      <c r="E128" s="12"/>
      <c r="F128" s="13" t="str">
        <f aca="false">IF(OR(D128="",E128=""),"",IF(E128&gt;D128,(E128-D128)*24,""))</f>
        <v/>
      </c>
      <c r="G128" s="9"/>
      <c r="H128" s="11" t="str">
        <f aca="false">IF(OR(A128="",B128="",D128="",E128=""),"",IF(E128&lt;=D128,"End before start",IF(COUNTIFS($B$9:$B$208,B128,$D$9:$D$208,"&lt;"&amp;(E128-1/1440),$E$9:$E$208,"&gt;"&amp;(D128+1/1440))&gt;1,"CONFLICT","OK")))</f>
        <v/>
      </c>
    </row>
    <row r="129" customFormat="false" ht="15" hidden="false" customHeight="false" outlineLevel="0" collapsed="false">
      <c r="A129" s="9"/>
      <c r="B129" s="10"/>
      <c r="C129" s="11" t="str">
        <f aca="false">IF(B129="","",CHOOSE(WEEKDAY(B129),"Sun","Mon","Tue","Wed","Thu","Fri","Sat"))</f>
        <v/>
      </c>
      <c r="D129" s="12"/>
      <c r="E129" s="12"/>
      <c r="F129" s="13" t="str">
        <f aca="false">IF(OR(D129="",E129=""),"",IF(E129&gt;D129,(E129-D129)*24,""))</f>
        <v/>
      </c>
      <c r="G129" s="9"/>
      <c r="H129" s="11" t="str">
        <f aca="false">IF(OR(A129="",B129="",D129="",E129=""),"",IF(E129&lt;=D129,"End before start",IF(COUNTIFS($B$9:$B$208,B129,$D$9:$D$208,"&lt;"&amp;(E129-1/1440),$E$9:$E$208,"&gt;"&amp;(D129+1/1440))&gt;1,"CONFLICT","OK")))</f>
        <v/>
      </c>
    </row>
    <row r="130" customFormat="false" ht="15" hidden="false" customHeight="false" outlineLevel="0" collapsed="false">
      <c r="A130" s="9"/>
      <c r="B130" s="10"/>
      <c r="C130" s="11" t="str">
        <f aca="false">IF(B130="","",CHOOSE(WEEKDAY(B130),"Sun","Mon","Tue","Wed","Thu","Fri","Sat"))</f>
        <v/>
      </c>
      <c r="D130" s="12"/>
      <c r="E130" s="12"/>
      <c r="F130" s="13" t="str">
        <f aca="false">IF(OR(D130="",E130=""),"",IF(E130&gt;D130,(E130-D130)*24,""))</f>
        <v/>
      </c>
      <c r="G130" s="9"/>
      <c r="H130" s="11" t="str">
        <f aca="false">IF(OR(A130="",B130="",D130="",E130=""),"",IF(E130&lt;=D130,"End before start",IF(COUNTIFS($B$9:$B$208,B130,$D$9:$D$208,"&lt;"&amp;(E130-1/1440),$E$9:$E$208,"&gt;"&amp;(D130+1/1440))&gt;1,"CONFLICT","OK")))</f>
        <v/>
      </c>
    </row>
    <row r="131" customFormat="false" ht="15" hidden="false" customHeight="false" outlineLevel="0" collapsed="false">
      <c r="A131" s="9"/>
      <c r="B131" s="10"/>
      <c r="C131" s="11" t="str">
        <f aca="false">IF(B131="","",CHOOSE(WEEKDAY(B131),"Sun","Mon","Tue","Wed","Thu","Fri","Sat"))</f>
        <v/>
      </c>
      <c r="D131" s="12"/>
      <c r="E131" s="12"/>
      <c r="F131" s="13" t="str">
        <f aca="false">IF(OR(D131="",E131=""),"",IF(E131&gt;D131,(E131-D131)*24,""))</f>
        <v/>
      </c>
      <c r="G131" s="9"/>
      <c r="H131" s="11" t="str">
        <f aca="false">IF(OR(A131="",B131="",D131="",E131=""),"",IF(E131&lt;=D131,"End before start",IF(COUNTIFS($B$9:$B$208,B131,$D$9:$D$208,"&lt;"&amp;(E131-1/1440),$E$9:$E$208,"&gt;"&amp;(D131+1/1440))&gt;1,"CONFLICT","OK")))</f>
        <v/>
      </c>
    </row>
    <row r="132" customFormat="false" ht="15" hidden="false" customHeight="false" outlineLevel="0" collapsed="false">
      <c r="A132" s="9"/>
      <c r="B132" s="10"/>
      <c r="C132" s="11" t="str">
        <f aca="false">IF(B132="","",CHOOSE(WEEKDAY(B132),"Sun","Mon","Tue","Wed","Thu","Fri","Sat"))</f>
        <v/>
      </c>
      <c r="D132" s="12"/>
      <c r="E132" s="12"/>
      <c r="F132" s="13" t="str">
        <f aca="false">IF(OR(D132="",E132=""),"",IF(E132&gt;D132,(E132-D132)*24,""))</f>
        <v/>
      </c>
      <c r="G132" s="9"/>
      <c r="H132" s="11" t="str">
        <f aca="false">IF(OR(A132="",B132="",D132="",E132=""),"",IF(E132&lt;=D132,"End before start",IF(COUNTIFS($B$9:$B$208,B132,$D$9:$D$208,"&lt;"&amp;(E132-1/1440),$E$9:$E$208,"&gt;"&amp;(D132+1/1440))&gt;1,"CONFLICT","OK")))</f>
        <v/>
      </c>
    </row>
    <row r="133" customFormat="false" ht="15" hidden="false" customHeight="false" outlineLevel="0" collapsed="false">
      <c r="A133" s="9"/>
      <c r="B133" s="10"/>
      <c r="C133" s="11" t="str">
        <f aca="false">IF(B133="","",CHOOSE(WEEKDAY(B133),"Sun","Mon","Tue","Wed","Thu","Fri","Sat"))</f>
        <v/>
      </c>
      <c r="D133" s="12"/>
      <c r="E133" s="12"/>
      <c r="F133" s="13" t="str">
        <f aca="false">IF(OR(D133="",E133=""),"",IF(E133&gt;D133,(E133-D133)*24,""))</f>
        <v/>
      </c>
      <c r="G133" s="9"/>
      <c r="H133" s="11" t="str">
        <f aca="false">IF(OR(A133="",B133="",D133="",E133=""),"",IF(E133&lt;=D133,"End before start",IF(COUNTIFS($B$9:$B$208,B133,$D$9:$D$208,"&lt;"&amp;(E133-1/1440),$E$9:$E$208,"&gt;"&amp;(D133+1/1440))&gt;1,"CONFLICT","OK")))</f>
        <v/>
      </c>
    </row>
    <row r="134" customFormat="false" ht="15" hidden="false" customHeight="false" outlineLevel="0" collapsed="false">
      <c r="A134" s="9"/>
      <c r="B134" s="10"/>
      <c r="C134" s="11" t="str">
        <f aca="false">IF(B134="","",CHOOSE(WEEKDAY(B134),"Sun","Mon","Tue","Wed","Thu","Fri","Sat"))</f>
        <v/>
      </c>
      <c r="D134" s="12"/>
      <c r="E134" s="12"/>
      <c r="F134" s="13" t="str">
        <f aca="false">IF(OR(D134="",E134=""),"",IF(E134&gt;D134,(E134-D134)*24,""))</f>
        <v/>
      </c>
      <c r="G134" s="9"/>
      <c r="H134" s="11" t="str">
        <f aca="false">IF(OR(A134="",B134="",D134="",E134=""),"",IF(E134&lt;=D134,"End before start",IF(COUNTIFS($B$9:$B$208,B134,$D$9:$D$208,"&lt;"&amp;(E134-1/1440),$E$9:$E$208,"&gt;"&amp;(D134+1/1440))&gt;1,"CONFLICT","OK")))</f>
        <v/>
      </c>
    </row>
    <row r="135" customFormat="false" ht="15" hidden="false" customHeight="false" outlineLevel="0" collapsed="false">
      <c r="A135" s="9"/>
      <c r="B135" s="10"/>
      <c r="C135" s="11" t="str">
        <f aca="false">IF(B135="","",CHOOSE(WEEKDAY(B135),"Sun","Mon","Tue","Wed","Thu","Fri","Sat"))</f>
        <v/>
      </c>
      <c r="D135" s="12"/>
      <c r="E135" s="12"/>
      <c r="F135" s="13" t="str">
        <f aca="false">IF(OR(D135="",E135=""),"",IF(E135&gt;D135,(E135-D135)*24,""))</f>
        <v/>
      </c>
      <c r="G135" s="9"/>
      <c r="H135" s="11" t="str">
        <f aca="false">IF(OR(A135="",B135="",D135="",E135=""),"",IF(E135&lt;=D135,"End before start",IF(COUNTIFS($B$9:$B$208,B135,$D$9:$D$208,"&lt;"&amp;(E135-1/1440),$E$9:$E$208,"&gt;"&amp;(D135+1/1440))&gt;1,"CONFLICT","OK")))</f>
        <v/>
      </c>
    </row>
    <row r="136" customFormat="false" ht="15" hidden="false" customHeight="false" outlineLevel="0" collapsed="false">
      <c r="A136" s="9"/>
      <c r="B136" s="10"/>
      <c r="C136" s="11" t="str">
        <f aca="false">IF(B136="","",CHOOSE(WEEKDAY(B136),"Sun","Mon","Tue","Wed","Thu","Fri","Sat"))</f>
        <v/>
      </c>
      <c r="D136" s="12"/>
      <c r="E136" s="12"/>
      <c r="F136" s="13" t="str">
        <f aca="false">IF(OR(D136="",E136=""),"",IF(E136&gt;D136,(E136-D136)*24,""))</f>
        <v/>
      </c>
      <c r="G136" s="9"/>
      <c r="H136" s="11" t="str">
        <f aca="false">IF(OR(A136="",B136="",D136="",E136=""),"",IF(E136&lt;=D136,"End before start",IF(COUNTIFS($B$9:$B$208,B136,$D$9:$D$208,"&lt;"&amp;(E136-1/1440),$E$9:$E$208,"&gt;"&amp;(D136+1/1440))&gt;1,"CONFLICT","OK")))</f>
        <v/>
      </c>
    </row>
    <row r="137" customFormat="false" ht="15" hidden="false" customHeight="false" outlineLevel="0" collapsed="false">
      <c r="A137" s="9"/>
      <c r="B137" s="10"/>
      <c r="C137" s="11" t="str">
        <f aca="false">IF(B137="","",CHOOSE(WEEKDAY(B137),"Sun","Mon","Tue","Wed","Thu","Fri","Sat"))</f>
        <v/>
      </c>
      <c r="D137" s="12"/>
      <c r="E137" s="12"/>
      <c r="F137" s="13" t="str">
        <f aca="false">IF(OR(D137="",E137=""),"",IF(E137&gt;D137,(E137-D137)*24,""))</f>
        <v/>
      </c>
      <c r="G137" s="9"/>
      <c r="H137" s="11" t="str">
        <f aca="false">IF(OR(A137="",B137="",D137="",E137=""),"",IF(E137&lt;=D137,"End before start",IF(COUNTIFS($B$9:$B$208,B137,$D$9:$D$208,"&lt;"&amp;(E137-1/1440),$E$9:$E$208,"&gt;"&amp;(D137+1/1440))&gt;1,"CONFLICT","OK")))</f>
        <v/>
      </c>
    </row>
    <row r="138" customFormat="false" ht="15" hidden="false" customHeight="false" outlineLevel="0" collapsed="false">
      <c r="A138" s="9"/>
      <c r="B138" s="10"/>
      <c r="C138" s="11" t="str">
        <f aca="false">IF(B138="","",CHOOSE(WEEKDAY(B138),"Sun","Mon","Tue","Wed","Thu","Fri","Sat"))</f>
        <v/>
      </c>
      <c r="D138" s="12"/>
      <c r="E138" s="12"/>
      <c r="F138" s="13" t="str">
        <f aca="false">IF(OR(D138="",E138=""),"",IF(E138&gt;D138,(E138-D138)*24,""))</f>
        <v/>
      </c>
      <c r="G138" s="9"/>
      <c r="H138" s="11" t="str">
        <f aca="false">IF(OR(A138="",B138="",D138="",E138=""),"",IF(E138&lt;=D138,"End before start",IF(COUNTIFS($B$9:$B$208,B138,$D$9:$D$208,"&lt;"&amp;(E138-1/1440),$E$9:$E$208,"&gt;"&amp;(D138+1/1440))&gt;1,"CONFLICT","OK")))</f>
        <v/>
      </c>
    </row>
    <row r="139" customFormat="false" ht="15" hidden="false" customHeight="false" outlineLevel="0" collapsed="false">
      <c r="A139" s="9"/>
      <c r="B139" s="10"/>
      <c r="C139" s="11" t="str">
        <f aca="false">IF(B139="","",CHOOSE(WEEKDAY(B139),"Sun","Mon","Tue","Wed","Thu","Fri","Sat"))</f>
        <v/>
      </c>
      <c r="D139" s="12"/>
      <c r="E139" s="12"/>
      <c r="F139" s="13" t="str">
        <f aca="false">IF(OR(D139="",E139=""),"",IF(E139&gt;D139,(E139-D139)*24,""))</f>
        <v/>
      </c>
      <c r="G139" s="9"/>
      <c r="H139" s="11" t="str">
        <f aca="false">IF(OR(A139="",B139="",D139="",E139=""),"",IF(E139&lt;=D139,"End before start",IF(COUNTIFS($B$9:$B$208,B139,$D$9:$D$208,"&lt;"&amp;(E139-1/1440),$E$9:$E$208,"&gt;"&amp;(D139+1/1440))&gt;1,"CONFLICT","OK")))</f>
        <v/>
      </c>
    </row>
    <row r="140" customFormat="false" ht="15" hidden="false" customHeight="false" outlineLevel="0" collapsed="false">
      <c r="A140" s="9"/>
      <c r="B140" s="10"/>
      <c r="C140" s="11" t="str">
        <f aca="false">IF(B140="","",CHOOSE(WEEKDAY(B140),"Sun","Mon","Tue","Wed","Thu","Fri","Sat"))</f>
        <v/>
      </c>
      <c r="D140" s="12"/>
      <c r="E140" s="12"/>
      <c r="F140" s="13" t="str">
        <f aca="false">IF(OR(D140="",E140=""),"",IF(E140&gt;D140,(E140-D140)*24,""))</f>
        <v/>
      </c>
      <c r="G140" s="9"/>
      <c r="H140" s="11" t="str">
        <f aca="false">IF(OR(A140="",B140="",D140="",E140=""),"",IF(E140&lt;=D140,"End before start",IF(COUNTIFS($B$9:$B$208,B140,$D$9:$D$208,"&lt;"&amp;(E140-1/1440),$E$9:$E$208,"&gt;"&amp;(D140+1/1440))&gt;1,"CONFLICT","OK")))</f>
        <v/>
      </c>
    </row>
    <row r="141" customFormat="false" ht="15" hidden="false" customHeight="false" outlineLevel="0" collapsed="false">
      <c r="A141" s="9"/>
      <c r="B141" s="10"/>
      <c r="C141" s="11" t="str">
        <f aca="false">IF(B141="","",CHOOSE(WEEKDAY(B141),"Sun","Mon","Tue","Wed","Thu","Fri","Sat"))</f>
        <v/>
      </c>
      <c r="D141" s="12"/>
      <c r="E141" s="12"/>
      <c r="F141" s="13" t="str">
        <f aca="false">IF(OR(D141="",E141=""),"",IF(E141&gt;D141,(E141-D141)*24,""))</f>
        <v/>
      </c>
      <c r="G141" s="9"/>
      <c r="H141" s="11" t="str">
        <f aca="false">IF(OR(A141="",B141="",D141="",E141=""),"",IF(E141&lt;=D141,"End before start",IF(COUNTIFS($B$9:$B$208,B141,$D$9:$D$208,"&lt;"&amp;(E141-1/1440),$E$9:$E$208,"&gt;"&amp;(D141+1/1440))&gt;1,"CONFLICT","OK")))</f>
        <v/>
      </c>
    </row>
    <row r="142" customFormat="false" ht="15" hidden="false" customHeight="false" outlineLevel="0" collapsed="false">
      <c r="A142" s="9"/>
      <c r="B142" s="10"/>
      <c r="C142" s="11" t="str">
        <f aca="false">IF(B142="","",CHOOSE(WEEKDAY(B142),"Sun","Mon","Tue","Wed","Thu","Fri","Sat"))</f>
        <v/>
      </c>
      <c r="D142" s="12"/>
      <c r="E142" s="12"/>
      <c r="F142" s="13" t="str">
        <f aca="false">IF(OR(D142="",E142=""),"",IF(E142&gt;D142,(E142-D142)*24,""))</f>
        <v/>
      </c>
      <c r="G142" s="9"/>
      <c r="H142" s="11" t="str">
        <f aca="false">IF(OR(A142="",B142="",D142="",E142=""),"",IF(E142&lt;=D142,"End before start",IF(COUNTIFS($B$9:$B$208,B142,$D$9:$D$208,"&lt;"&amp;(E142-1/1440),$E$9:$E$208,"&gt;"&amp;(D142+1/1440))&gt;1,"CONFLICT","OK")))</f>
        <v/>
      </c>
    </row>
    <row r="143" customFormat="false" ht="15" hidden="false" customHeight="false" outlineLevel="0" collapsed="false">
      <c r="A143" s="9"/>
      <c r="B143" s="10"/>
      <c r="C143" s="11" t="str">
        <f aca="false">IF(B143="","",CHOOSE(WEEKDAY(B143),"Sun","Mon","Tue","Wed","Thu","Fri","Sat"))</f>
        <v/>
      </c>
      <c r="D143" s="12"/>
      <c r="E143" s="12"/>
      <c r="F143" s="13" t="str">
        <f aca="false">IF(OR(D143="",E143=""),"",IF(E143&gt;D143,(E143-D143)*24,""))</f>
        <v/>
      </c>
      <c r="G143" s="9"/>
      <c r="H143" s="11" t="str">
        <f aca="false">IF(OR(A143="",B143="",D143="",E143=""),"",IF(E143&lt;=D143,"End before start",IF(COUNTIFS($B$9:$B$208,B143,$D$9:$D$208,"&lt;"&amp;(E143-1/1440),$E$9:$E$208,"&gt;"&amp;(D143+1/1440))&gt;1,"CONFLICT","OK")))</f>
        <v/>
      </c>
    </row>
    <row r="144" customFormat="false" ht="15" hidden="false" customHeight="false" outlineLevel="0" collapsed="false">
      <c r="A144" s="9"/>
      <c r="B144" s="10"/>
      <c r="C144" s="11" t="str">
        <f aca="false">IF(B144="","",CHOOSE(WEEKDAY(B144),"Sun","Mon","Tue","Wed","Thu","Fri","Sat"))</f>
        <v/>
      </c>
      <c r="D144" s="12"/>
      <c r="E144" s="12"/>
      <c r="F144" s="13" t="str">
        <f aca="false">IF(OR(D144="",E144=""),"",IF(E144&gt;D144,(E144-D144)*24,""))</f>
        <v/>
      </c>
      <c r="G144" s="9"/>
      <c r="H144" s="11" t="str">
        <f aca="false">IF(OR(A144="",B144="",D144="",E144=""),"",IF(E144&lt;=D144,"End before start",IF(COUNTIFS($B$9:$B$208,B144,$D$9:$D$208,"&lt;"&amp;(E144-1/1440),$E$9:$E$208,"&gt;"&amp;(D144+1/1440))&gt;1,"CONFLICT","OK")))</f>
        <v/>
      </c>
    </row>
    <row r="145" customFormat="false" ht="15" hidden="false" customHeight="false" outlineLevel="0" collapsed="false">
      <c r="A145" s="9"/>
      <c r="B145" s="10"/>
      <c r="C145" s="11" t="str">
        <f aca="false">IF(B145="","",CHOOSE(WEEKDAY(B145),"Sun","Mon","Tue","Wed","Thu","Fri","Sat"))</f>
        <v/>
      </c>
      <c r="D145" s="12"/>
      <c r="E145" s="12"/>
      <c r="F145" s="13" t="str">
        <f aca="false">IF(OR(D145="",E145=""),"",IF(E145&gt;D145,(E145-D145)*24,""))</f>
        <v/>
      </c>
      <c r="G145" s="9"/>
      <c r="H145" s="11" t="str">
        <f aca="false">IF(OR(A145="",B145="",D145="",E145=""),"",IF(E145&lt;=D145,"End before start",IF(COUNTIFS($B$9:$B$208,B145,$D$9:$D$208,"&lt;"&amp;(E145-1/1440),$E$9:$E$208,"&gt;"&amp;(D145+1/1440))&gt;1,"CONFLICT","OK")))</f>
        <v/>
      </c>
    </row>
    <row r="146" customFormat="false" ht="15" hidden="false" customHeight="false" outlineLevel="0" collapsed="false">
      <c r="A146" s="9"/>
      <c r="B146" s="10"/>
      <c r="C146" s="11" t="str">
        <f aca="false">IF(B146="","",CHOOSE(WEEKDAY(B146),"Sun","Mon","Tue","Wed","Thu","Fri","Sat"))</f>
        <v/>
      </c>
      <c r="D146" s="12"/>
      <c r="E146" s="12"/>
      <c r="F146" s="13" t="str">
        <f aca="false">IF(OR(D146="",E146=""),"",IF(E146&gt;D146,(E146-D146)*24,""))</f>
        <v/>
      </c>
      <c r="G146" s="9"/>
      <c r="H146" s="11" t="str">
        <f aca="false">IF(OR(A146="",B146="",D146="",E146=""),"",IF(E146&lt;=D146,"End before start",IF(COUNTIFS($B$9:$B$208,B146,$D$9:$D$208,"&lt;"&amp;(E146-1/1440),$E$9:$E$208,"&gt;"&amp;(D146+1/1440))&gt;1,"CONFLICT","OK")))</f>
        <v/>
      </c>
    </row>
    <row r="147" customFormat="false" ht="15" hidden="false" customHeight="false" outlineLevel="0" collapsed="false">
      <c r="A147" s="9"/>
      <c r="B147" s="10"/>
      <c r="C147" s="11" t="str">
        <f aca="false">IF(B147="","",CHOOSE(WEEKDAY(B147),"Sun","Mon","Tue","Wed","Thu","Fri","Sat"))</f>
        <v/>
      </c>
      <c r="D147" s="12"/>
      <c r="E147" s="12"/>
      <c r="F147" s="13" t="str">
        <f aca="false">IF(OR(D147="",E147=""),"",IF(E147&gt;D147,(E147-D147)*24,""))</f>
        <v/>
      </c>
      <c r="G147" s="9"/>
      <c r="H147" s="11" t="str">
        <f aca="false">IF(OR(A147="",B147="",D147="",E147=""),"",IF(E147&lt;=D147,"End before start",IF(COUNTIFS($B$9:$B$208,B147,$D$9:$D$208,"&lt;"&amp;(E147-1/1440),$E$9:$E$208,"&gt;"&amp;(D147+1/1440))&gt;1,"CONFLICT","OK")))</f>
        <v/>
      </c>
    </row>
    <row r="148" customFormat="false" ht="15" hidden="false" customHeight="false" outlineLevel="0" collapsed="false">
      <c r="A148" s="9"/>
      <c r="B148" s="10"/>
      <c r="C148" s="11" t="str">
        <f aca="false">IF(B148="","",CHOOSE(WEEKDAY(B148),"Sun","Mon","Tue","Wed","Thu","Fri","Sat"))</f>
        <v/>
      </c>
      <c r="D148" s="12"/>
      <c r="E148" s="12"/>
      <c r="F148" s="13" t="str">
        <f aca="false">IF(OR(D148="",E148=""),"",IF(E148&gt;D148,(E148-D148)*24,""))</f>
        <v/>
      </c>
      <c r="G148" s="9"/>
      <c r="H148" s="11" t="str">
        <f aca="false">IF(OR(A148="",B148="",D148="",E148=""),"",IF(E148&lt;=D148,"End before start",IF(COUNTIFS($B$9:$B$208,B148,$D$9:$D$208,"&lt;"&amp;(E148-1/1440),$E$9:$E$208,"&gt;"&amp;(D148+1/1440))&gt;1,"CONFLICT","OK")))</f>
        <v/>
      </c>
    </row>
    <row r="149" customFormat="false" ht="15" hidden="false" customHeight="false" outlineLevel="0" collapsed="false">
      <c r="A149" s="9"/>
      <c r="B149" s="10"/>
      <c r="C149" s="11" t="str">
        <f aca="false">IF(B149="","",CHOOSE(WEEKDAY(B149),"Sun","Mon","Tue","Wed","Thu","Fri","Sat"))</f>
        <v/>
      </c>
      <c r="D149" s="12"/>
      <c r="E149" s="12"/>
      <c r="F149" s="13" t="str">
        <f aca="false">IF(OR(D149="",E149=""),"",IF(E149&gt;D149,(E149-D149)*24,""))</f>
        <v/>
      </c>
      <c r="G149" s="9"/>
      <c r="H149" s="11" t="str">
        <f aca="false">IF(OR(A149="",B149="",D149="",E149=""),"",IF(E149&lt;=D149,"End before start",IF(COUNTIFS($B$9:$B$208,B149,$D$9:$D$208,"&lt;"&amp;(E149-1/1440),$E$9:$E$208,"&gt;"&amp;(D149+1/1440))&gt;1,"CONFLICT","OK")))</f>
        <v/>
      </c>
    </row>
    <row r="150" customFormat="false" ht="15" hidden="false" customHeight="false" outlineLevel="0" collapsed="false">
      <c r="A150" s="9"/>
      <c r="B150" s="10"/>
      <c r="C150" s="11" t="str">
        <f aca="false">IF(B150="","",CHOOSE(WEEKDAY(B150),"Sun","Mon","Tue","Wed","Thu","Fri","Sat"))</f>
        <v/>
      </c>
      <c r="D150" s="12"/>
      <c r="E150" s="12"/>
      <c r="F150" s="13" t="str">
        <f aca="false">IF(OR(D150="",E150=""),"",IF(E150&gt;D150,(E150-D150)*24,""))</f>
        <v/>
      </c>
      <c r="G150" s="9"/>
      <c r="H150" s="11" t="str">
        <f aca="false">IF(OR(A150="",B150="",D150="",E150=""),"",IF(E150&lt;=D150,"End before start",IF(COUNTIFS($B$9:$B$208,B150,$D$9:$D$208,"&lt;"&amp;(E150-1/1440),$E$9:$E$208,"&gt;"&amp;(D150+1/1440))&gt;1,"CONFLICT","OK")))</f>
        <v/>
      </c>
    </row>
    <row r="151" customFormat="false" ht="15" hidden="false" customHeight="false" outlineLevel="0" collapsed="false">
      <c r="A151" s="9"/>
      <c r="B151" s="10"/>
      <c r="C151" s="11" t="str">
        <f aca="false">IF(B151="","",CHOOSE(WEEKDAY(B151),"Sun","Mon","Tue","Wed","Thu","Fri","Sat"))</f>
        <v/>
      </c>
      <c r="D151" s="12"/>
      <c r="E151" s="12"/>
      <c r="F151" s="13" t="str">
        <f aca="false">IF(OR(D151="",E151=""),"",IF(E151&gt;D151,(E151-D151)*24,""))</f>
        <v/>
      </c>
      <c r="G151" s="9"/>
      <c r="H151" s="11" t="str">
        <f aca="false">IF(OR(A151="",B151="",D151="",E151=""),"",IF(E151&lt;=D151,"End before start",IF(COUNTIFS($B$9:$B$208,B151,$D$9:$D$208,"&lt;"&amp;(E151-1/1440),$E$9:$E$208,"&gt;"&amp;(D151+1/1440))&gt;1,"CONFLICT","OK")))</f>
        <v/>
      </c>
    </row>
    <row r="152" customFormat="false" ht="15" hidden="false" customHeight="false" outlineLevel="0" collapsed="false">
      <c r="A152" s="9"/>
      <c r="B152" s="10"/>
      <c r="C152" s="11" t="str">
        <f aca="false">IF(B152="","",CHOOSE(WEEKDAY(B152),"Sun","Mon","Tue","Wed","Thu","Fri","Sat"))</f>
        <v/>
      </c>
      <c r="D152" s="12"/>
      <c r="E152" s="12"/>
      <c r="F152" s="13" t="str">
        <f aca="false">IF(OR(D152="",E152=""),"",IF(E152&gt;D152,(E152-D152)*24,""))</f>
        <v/>
      </c>
      <c r="G152" s="9"/>
      <c r="H152" s="11" t="str">
        <f aca="false">IF(OR(A152="",B152="",D152="",E152=""),"",IF(E152&lt;=D152,"End before start",IF(COUNTIFS($B$9:$B$208,B152,$D$9:$D$208,"&lt;"&amp;(E152-1/1440),$E$9:$E$208,"&gt;"&amp;(D152+1/1440))&gt;1,"CONFLICT","OK")))</f>
        <v/>
      </c>
    </row>
    <row r="153" customFormat="false" ht="15" hidden="false" customHeight="false" outlineLevel="0" collapsed="false">
      <c r="A153" s="9"/>
      <c r="B153" s="10"/>
      <c r="C153" s="11" t="str">
        <f aca="false">IF(B153="","",CHOOSE(WEEKDAY(B153),"Sun","Mon","Tue","Wed","Thu","Fri","Sat"))</f>
        <v/>
      </c>
      <c r="D153" s="12"/>
      <c r="E153" s="12"/>
      <c r="F153" s="13" t="str">
        <f aca="false">IF(OR(D153="",E153=""),"",IF(E153&gt;D153,(E153-D153)*24,""))</f>
        <v/>
      </c>
      <c r="G153" s="9"/>
      <c r="H153" s="11" t="str">
        <f aca="false">IF(OR(A153="",B153="",D153="",E153=""),"",IF(E153&lt;=D153,"End before start",IF(COUNTIFS($B$9:$B$208,B153,$D$9:$D$208,"&lt;"&amp;(E153-1/1440),$E$9:$E$208,"&gt;"&amp;(D153+1/1440))&gt;1,"CONFLICT","OK")))</f>
        <v/>
      </c>
    </row>
    <row r="154" customFormat="false" ht="15" hidden="false" customHeight="false" outlineLevel="0" collapsed="false">
      <c r="A154" s="9"/>
      <c r="B154" s="10"/>
      <c r="C154" s="11" t="str">
        <f aca="false">IF(B154="","",CHOOSE(WEEKDAY(B154),"Sun","Mon","Tue","Wed","Thu","Fri","Sat"))</f>
        <v/>
      </c>
      <c r="D154" s="12"/>
      <c r="E154" s="12"/>
      <c r="F154" s="13" t="str">
        <f aca="false">IF(OR(D154="",E154=""),"",IF(E154&gt;D154,(E154-D154)*24,""))</f>
        <v/>
      </c>
      <c r="G154" s="9"/>
      <c r="H154" s="11" t="str">
        <f aca="false">IF(OR(A154="",B154="",D154="",E154=""),"",IF(E154&lt;=D154,"End before start",IF(COUNTIFS($B$9:$B$208,B154,$D$9:$D$208,"&lt;"&amp;(E154-1/1440),$E$9:$E$208,"&gt;"&amp;(D154+1/1440))&gt;1,"CONFLICT","OK")))</f>
        <v/>
      </c>
    </row>
    <row r="155" customFormat="false" ht="15" hidden="false" customHeight="false" outlineLevel="0" collapsed="false">
      <c r="A155" s="9"/>
      <c r="B155" s="10"/>
      <c r="C155" s="11" t="str">
        <f aca="false">IF(B155="","",CHOOSE(WEEKDAY(B155),"Sun","Mon","Tue","Wed","Thu","Fri","Sat"))</f>
        <v/>
      </c>
      <c r="D155" s="12"/>
      <c r="E155" s="12"/>
      <c r="F155" s="13" t="str">
        <f aca="false">IF(OR(D155="",E155=""),"",IF(E155&gt;D155,(E155-D155)*24,""))</f>
        <v/>
      </c>
      <c r="G155" s="9"/>
      <c r="H155" s="11" t="str">
        <f aca="false">IF(OR(A155="",B155="",D155="",E155=""),"",IF(E155&lt;=D155,"End before start",IF(COUNTIFS($B$9:$B$208,B155,$D$9:$D$208,"&lt;"&amp;(E155-1/1440),$E$9:$E$208,"&gt;"&amp;(D155+1/1440))&gt;1,"CONFLICT","OK")))</f>
        <v/>
      </c>
    </row>
    <row r="156" customFormat="false" ht="15" hidden="false" customHeight="false" outlineLevel="0" collapsed="false">
      <c r="A156" s="9"/>
      <c r="B156" s="10"/>
      <c r="C156" s="11" t="str">
        <f aca="false">IF(B156="","",CHOOSE(WEEKDAY(B156),"Sun","Mon","Tue","Wed","Thu","Fri","Sat"))</f>
        <v/>
      </c>
      <c r="D156" s="12"/>
      <c r="E156" s="12"/>
      <c r="F156" s="13" t="str">
        <f aca="false">IF(OR(D156="",E156=""),"",IF(E156&gt;D156,(E156-D156)*24,""))</f>
        <v/>
      </c>
      <c r="G156" s="9"/>
      <c r="H156" s="11" t="str">
        <f aca="false">IF(OR(A156="",B156="",D156="",E156=""),"",IF(E156&lt;=D156,"End before start",IF(COUNTIFS($B$9:$B$208,B156,$D$9:$D$208,"&lt;"&amp;(E156-1/1440),$E$9:$E$208,"&gt;"&amp;(D156+1/1440))&gt;1,"CONFLICT","OK")))</f>
        <v/>
      </c>
    </row>
    <row r="157" customFormat="false" ht="15" hidden="false" customHeight="false" outlineLevel="0" collapsed="false">
      <c r="A157" s="9"/>
      <c r="B157" s="10"/>
      <c r="C157" s="11" t="str">
        <f aca="false">IF(B157="","",CHOOSE(WEEKDAY(B157),"Sun","Mon","Tue","Wed","Thu","Fri","Sat"))</f>
        <v/>
      </c>
      <c r="D157" s="12"/>
      <c r="E157" s="12"/>
      <c r="F157" s="13" t="str">
        <f aca="false">IF(OR(D157="",E157=""),"",IF(E157&gt;D157,(E157-D157)*24,""))</f>
        <v/>
      </c>
      <c r="G157" s="9"/>
      <c r="H157" s="11" t="str">
        <f aca="false">IF(OR(A157="",B157="",D157="",E157=""),"",IF(E157&lt;=D157,"End before start",IF(COUNTIFS($B$9:$B$208,B157,$D$9:$D$208,"&lt;"&amp;(E157-1/1440),$E$9:$E$208,"&gt;"&amp;(D157+1/1440))&gt;1,"CONFLICT","OK")))</f>
        <v/>
      </c>
    </row>
    <row r="158" customFormat="false" ht="15" hidden="false" customHeight="false" outlineLevel="0" collapsed="false">
      <c r="A158" s="9"/>
      <c r="B158" s="10"/>
      <c r="C158" s="11" t="str">
        <f aca="false">IF(B158="","",CHOOSE(WEEKDAY(B158),"Sun","Mon","Tue","Wed","Thu","Fri","Sat"))</f>
        <v/>
      </c>
      <c r="D158" s="12"/>
      <c r="E158" s="12"/>
      <c r="F158" s="13" t="str">
        <f aca="false">IF(OR(D158="",E158=""),"",IF(E158&gt;D158,(E158-D158)*24,""))</f>
        <v/>
      </c>
      <c r="G158" s="9"/>
      <c r="H158" s="11" t="str">
        <f aca="false">IF(OR(A158="",B158="",D158="",E158=""),"",IF(E158&lt;=D158,"End before start",IF(COUNTIFS($B$9:$B$208,B158,$D$9:$D$208,"&lt;"&amp;(E158-1/1440),$E$9:$E$208,"&gt;"&amp;(D158+1/1440))&gt;1,"CONFLICT","OK")))</f>
        <v/>
      </c>
    </row>
    <row r="159" customFormat="false" ht="15" hidden="false" customHeight="false" outlineLevel="0" collapsed="false">
      <c r="A159" s="9"/>
      <c r="B159" s="10"/>
      <c r="C159" s="11" t="str">
        <f aca="false">IF(B159="","",CHOOSE(WEEKDAY(B159),"Sun","Mon","Tue","Wed","Thu","Fri","Sat"))</f>
        <v/>
      </c>
      <c r="D159" s="12"/>
      <c r="E159" s="12"/>
      <c r="F159" s="13" t="str">
        <f aca="false">IF(OR(D159="",E159=""),"",IF(E159&gt;D159,(E159-D159)*24,""))</f>
        <v/>
      </c>
      <c r="G159" s="9"/>
      <c r="H159" s="11" t="str">
        <f aca="false">IF(OR(A159="",B159="",D159="",E159=""),"",IF(E159&lt;=D159,"End before start",IF(COUNTIFS($B$9:$B$208,B159,$D$9:$D$208,"&lt;"&amp;(E159-1/1440),$E$9:$E$208,"&gt;"&amp;(D159+1/1440))&gt;1,"CONFLICT","OK")))</f>
        <v/>
      </c>
    </row>
    <row r="160" customFormat="false" ht="15" hidden="false" customHeight="false" outlineLevel="0" collapsed="false">
      <c r="A160" s="9"/>
      <c r="B160" s="10"/>
      <c r="C160" s="11" t="str">
        <f aca="false">IF(B160="","",CHOOSE(WEEKDAY(B160),"Sun","Mon","Tue","Wed","Thu","Fri","Sat"))</f>
        <v/>
      </c>
      <c r="D160" s="12"/>
      <c r="E160" s="12"/>
      <c r="F160" s="13" t="str">
        <f aca="false">IF(OR(D160="",E160=""),"",IF(E160&gt;D160,(E160-D160)*24,""))</f>
        <v/>
      </c>
      <c r="G160" s="9"/>
      <c r="H160" s="11" t="str">
        <f aca="false">IF(OR(A160="",B160="",D160="",E160=""),"",IF(E160&lt;=D160,"End before start",IF(COUNTIFS($B$9:$B$208,B160,$D$9:$D$208,"&lt;"&amp;(E160-1/1440),$E$9:$E$208,"&gt;"&amp;(D160+1/1440))&gt;1,"CONFLICT","OK")))</f>
        <v/>
      </c>
    </row>
    <row r="161" customFormat="false" ht="15" hidden="false" customHeight="false" outlineLevel="0" collapsed="false">
      <c r="A161" s="9"/>
      <c r="B161" s="10"/>
      <c r="C161" s="11" t="str">
        <f aca="false">IF(B161="","",CHOOSE(WEEKDAY(B161),"Sun","Mon","Tue","Wed","Thu","Fri","Sat"))</f>
        <v/>
      </c>
      <c r="D161" s="12"/>
      <c r="E161" s="12"/>
      <c r="F161" s="13" t="str">
        <f aca="false">IF(OR(D161="",E161=""),"",IF(E161&gt;D161,(E161-D161)*24,""))</f>
        <v/>
      </c>
      <c r="G161" s="9"/>
      <c r="H161" s="11" t="str">
        <f aca="false">IF(OR(A161="",B161="",D161="",E161=""),"",IF(E161&lt;=D161,"End before start",IF(COUNTIFS($B$9:$B$208,B161,$D$9:$D$208,"&lt;"&amp;(E161-1/1440),$E$9:$E$208,"&gt;"&amp;(D161+1/1440))&gt;1,"CONFLICT","OK")))</f>
        <v/>
      </c>
    </row>
    <row r="162" customFormat="false" ht="15" hidden="false" customHeight="false" outlineLevel="0" collapsed="false">
      <c r="A162" s="9"/>
      <c r="B162" s="10"/>
      <c r="C162" s="11" t="str">
        <f aca="false">IF(B162="","",CHOOSE(WEEKDAY(B162),"Sun","Mon","Tue","Wed","Thu","Fri","Sat"))</f>
        <v/>
      </c>
      <c r="D162" s="12"/>
      <c r="E162" s="12"/>
      <c r="F162" s="13" t="str">
        <f aca="false">IF(OR(D162="",E162=""),"",IF(E162&gt;D162,(E162-D162)*24,""))</f>
        <v/>
      </c>
      <c r="G162" s="9"/>
      <c r="H162" s="11" t="str">
        <f aca="false">IF(OR(A162="",B162="",D162="",E162=""),"",IF(E162&lt;=D162,"End before start",IF(COUNTIFS($B$9:$B$208,B162,$D$9:$D$208,"&lt;"&amp;(E162-1/1440),$E$9:$E$208,"&gt;"&amp;(D162+1/1440))&gt;1,"CONFLICT","OK")))</f>
        <v/>
      </c>
    </row>
    <row r="163" customFormat="false" ht="15" hidden="false" customHeight="false" outlineLevel="0" collapsed="false">
      <c r="A163" s="9"/>
      <c r="B163" s="10"/>
      <c r="C163" s="11" t="str">
        <f aca="false">IF(B163="","",CHOOSE(WEEKDAY(B163),"Sun","Mon","Tue","Wed","Thu","Fri","Sat"))</f>
        <v/>
      </c>
      <c r="D163" s="12"/>
      <c r="E163" s="12"/>
      <c r="F163" s="13" t="str">
        <f aca="false">IF(OR(D163="",E163=""),"",IF(E163&gt;D163,(E163-D163)*24,""))</f>
        <v/>
      </c>
      <c r="G163" s="9"/>
      <c r="H163" s="11" t="str">
        <f aca="false">IF(OR(A163="",B163="",D163="",E163=""),"",IF(E163&lt;=D163,"End before start",IF(COUNTIFS($B$9:$B$208,B163,$D$9:$D$208,"&lt;"&amp;(E163-1/1440),$E$9:$E$208,"&gt;"&amp;(D163+1/1440))&gt;1,"CONFLICT","OK")))</f>
        <v/>
      </c>
    </row>
    <row r="164" customFormat="false" ht="15" hidden="false" customHeight="false" outlineLevel="0" collapsed="false">
      <c r="A164" s="9"/>
      <c r="B164" s="10"/>
      <c r="C164" s="11" t="str">
        <f aca="false">IF(B164="","",CHOOSE(WEEKDAY(B164),"Sun","Mon","Tue","Wed","Thu","Fri","Sat"))</f>
        <v/>
      </c>
      <c r="D164" s="12"/>
      <c r="E164" s="12"/>
      <c r="F164" s="13" t="str">
        <f aca="false">IF(OR(D164="",E164=""),"",IF(E164&gt;D164,(E164-D164)*24,""))</f>
        <v/>
      </c>
      <c r="G164" s="9"/>
      <c r="H164" s="11" t="str">
        <f aca="false">IF(OR(A164="",B164="",D164="",E164=""),"",IF(E164&lt;=D164,"End before start",IF(COUNTIFS($B$9:$B$208,B164,$D$9:$D$208,"&lt;"&amp;(E164-1/1440),$E$9:$E$208,"&gt;"&amp;(D164+1/1440))&gt;1,"CONFLICT","OK")))</f>
        <v/>
      </c>
    </row>
    <row r="165" customFormat="false" ht="15" hidden="false" customHeight="false" outlineLevel="0" collapsed="false">
      <c r="A165" s="9"/>
      <c r="B165" s="10"/>
      <c r="C165" s="11" t="str">
        <f aca="false">IF(B165="","",CHOOSE(WEEKDAY(B165),"Sun","Mon","Tue","Wed","Thu","Fri","Sat"))</f>
        <v/>
      </c>
      <c r="D165" s="12"/>
      <c r="E165" s="12"/>
      <c r="F165" s="13" t="str">
        <f aca="false">IF(OR(D165="",E165=""),"",IF(E165&gt;D165,(E165-D165)*24,""))</f>
        <v/>
      </c>
      <c r="G165" s="9"/>
      <c r="H165" s="11" t="str">
        <f aca="false">IF(OR(A165="",B165="",D165="",E165=""),"",IF(E165&lt;=D165,"End before start",IF(COUNTIFS($B$9:$B$208,B165,$D$9:$D$208,"&lt;"&amp;(E165-1/1440),$E$9:$E$208,"&gt;"&amp;(D165+1/1440))&gt;1,"CONFLICT","OK")))</f>
        <v/>
      </c>
    </row>
    <row r="166" customFormat="false" ht="15" hidden="false" customHeight="false" outlineLevel="0" collapsed="false">
      <c r="A166" s="9"/>
      <c r="B166" s="10"/>
      <c r="C166" s="11" t="str">
        <f aca="false">IF(B166="","",CHOOSE(WEEKDAY(B166),"Sun","Mon","Tue","Wed","Thu","Fri","Sat"))</f>
        <v/>
      </c>
      <c r="D166" s="12"/>
      <c r="E166" s="12"/>
      <c r="F166" s="13" t="str">
        <f aca="false">IF(OR(D166="",E166=""),"",IF(E166&gt;D166,(E166-D166)*24,""))</f>
        <v/>
      </c>
      <c r="G166" s="9"/>
      <c r="H166" s="11" t="str">
        <f aca="false">IF(OR(A166="",B166="",D166="",E166=""),"",IF(E166&lt;=D166,"End before start",IF(COUNTIFS($B$9:$B$208,B166,$D$9:$D$208,"&lt;"&amp;(E166-1/1440),$E$9:$E$208,"&gt;"&amp;(D166+1/1440))&gt;1,"CONFLICT","OK")))</f>
        <v/>
      </c>
    </row>
    <row r="167" customFormat="false" ht="15" hidden="false" customHeight="false" outlineLevel="0" collapsed="false">
      <c r="A167" s="9"/>
      <c r="B167" s="10"/>
      <c r="C167" s="11" t="str">
        <f aca="false">IF(B167="","",CHOOSE(WEEKDAY(B167),"Sun","Mon","Tue","Wed","Thu","Fri","Sat"))</f>
        <v/>
      </c>
      <c r="D167" s="12"/>
      <c r="E167" s="12"/>
      <c r="F167" s="13" t="str">
        <f aca="false">IF(OR(D167="",E167=""),"",IF(E167&gt;D167,(E167-D167)*24,""))</f>
        <v/>
      </c>
      <c r="G167" s="9"/>
      <c r="H167" s="11" t="str">
        <f aca="false">IF(OR(A167="",B167="",D167="",E167=""),"",IF(E167&lt;=D167,"End before start",IF(COUNTIFS($B$9:$B$208,B167,$D$9:$D$208,"&lt;"&amp;(E167-1/1440),$E$9:$E$208,"&gt;"&amp;(D167+1/1440))&gt;1,"CONFLICT","OK")))</f>
        <v/>
      </c>
    </row>
    <row r="168" customFormat="false" ht="15" hidden="false" customHeight="false" outlineLevel="0" collapsed="false">
      <c r="A168" s="9"/>
      <c r="B168" s="10"/>
      <c r="C168" s="11" t="str">
        <f aca="false">IF(B168="","",CHOOSE(WEEKDAY(B168),"Sun","Mon","Tue","Wed","Thu","Fri","Sat"))</f>
        <v/>
      </c>
      <c r="D168" s="12"/>
      <c r="E168" s="12"/>
      <c r="F168" s="13" t="str">
        <f aca="false">IF(OR(D168="",E168=""),"",IF(E168&gt;D168,(E168-D168)*24,""))</f>
        <v/>
      </c>
      <c r="G168" s="9"/>
      <c r="H168" s="11" t="str">
        <f aca="false">IF(OR(A168="",B168="",D168="",E168=""),"",IF(E168&lt;=D168,"End before start",IF(COUNTIFS($B$9:$B$208,B168,$D$9:$D$208,"&lt;"&amp;(E168-1/1440),$E$9:$E$208,"&gt;"&amp;(D168+1/1440))&gt;1,"CONFLICT","OK")))</f>
        <v/>
      </c>
    </row>
    <row r="169" customFormat="false" ht="15" hidden="false" customHeight="false" outlineLevel="0" collapsed="false">
      <c r="A169" s="9"/>
      <c r="B169" s="10"/>
      <c r="C169" s="11" t="str">
        <f aca="false">IF(B169="","",CHOOSE(WEEKDAY(B169),"Sun","Mon","Tue","Wed","Thu","Fri","Sat"))</f>
        <v/>
      </c>
      <c r="D169" s="12"/>
      <c r="E169" s="12"/>
      <c r="F169" s="13" t="str">
        <f aca="false">IF(OR(D169="",E169=""),"",IF(E169&gt;D169,(E169-D169)*24,""))</f>
        <v/>
      </c>
      <c r="G169" s="9"/>
      <c r="H169" s="11" t="str">
        <f aca="false">IF(OR(A169="",B169="",D169="",E169=""),"",IF(E169&lt;=D169,"End before start",IF(COUNTIFS($B$9:$B$208,B169,$D$9:$D$208,"&lt;"&amp;(E169-1/1440),$E$9:$E$208,"&gt;"&amp;(D169+1/1440))&gt;1,"CONFLICT","OK")))</f>
        <v/>
      </c>
    </row>
    <row r="170" customFormat="false" ht="15" hidden="false" customHeight="false" outlineLevel="0" collapsed="false">
      <c r="A170" s="9"/>
      <c r="B170" s="10"/>
      <c r="C170" s="11" t="str">
        <f aca="false">IF(B170="","",CHOOSE(WEEKDAY(B170),"Sun","Mon","Tue","Wed","Thu","Fri","Sat"))</f>
        <v/>
      </c>
      <c r="D170" s="12"/>
      <c r="E170" s="12"/>
      <c r="F170" s="13" t="str">
        <f aca="false">IF(OR(D170="",E170=""),"",IF(E170&gt;D170,(E170-D170)*24,""))</f>
        <v/>
      </c>
      <c r="G170" s="9"/>
      <c r="H170" s="11" t="str">
        <f aca="false">IF(OR(A170="",B170="",D170="",E170=""),"",IF(E170&lt;=D170,"End before start",IF(COUNTIFS($B$9:$B$208,B170,$D$9:$D$208,"&lt;"&amp;(E170-1/1440),$E$9:$E$208,"&gt;"&amp;(D170+1/1440))&gt;1,"CONFLICT","OK")))</f>
        <v/>
      </c>
    </row>
    <row r="171" customFormat="false" ht="15" hidden="false" customHeight="false" outlineLevel="0" collapsed="false">
      <c r="A171" s="9"/>
      <c r="B171" s="10"/>
      <c r="C171" s="11" t="str">
        <f aca="false">IF(B171="","",CHOOSE(WEEKDAY(B171),"Sun","Mon","Tue","Wed","Thu","Fri","Sat"))</f>
        <v/>
      </c>
      <c r="D171" s="12"/>
      <c r="E171" s="12"/>
      <c r="F171" s="13" t="str">
        <f aca="false">IF(OR(D171="",E171=""),"",IF(E171&gt;D171,(E171-D171)*24,""))</f>
        <v/>
      </c>
      <c r="G171" s="9"/>
      <c r="H171" s="11" t="str">
        <f aca="false">IF(OR(A171="",B171="",D171="",E171=""),"",IF(E171&lt;=D171,"End before start",IF(COUNTIFS($B$9:$B$208,B171,$D$9:$D$208,"&lt;"&amp;(E171-1/1440),$E$9:$E$208,"&gt;"&amp;(D171+1/1440))&gt;1,"CONFLICT","OK")))</f>
        <v/>
      </c>
    </row>
    <row r="172" customFormat="false" ht="15" hidden="false" customHeight="false" outlineLevel="0" collapsed="false">
      <c r="A172" s="9"/>
      <c r="B172" s="10"/>
      <c r="C172" s="11" t="str">
        <f aca="false">IF(B172="","",CHOOSE(WEEKDAY(B172),"Sun","Mon","Tue","Wed","Thu","Fri","Sat"))</f>
        <v/>
      </c>
      <c r="D172" s="12"/>
      <c r="E172" s="12"/>
      <c r="F172" s="13" t="str">
        <f aca="false">IF(OR(D172="",E172=""),"",IF(E172&gt;D172,(E172-D172)*24,""))</f>
        <v/>
      </c>
      <c r="G172" s="9"/>
      <c r="H172" s="11" t="str">
        <f aca="false">IF(OR(A172="",B172="",D172="",E172=""),"",IF(E172&lt;=D172,"End before start",IF(COUNTIFS($B$9:$B$208,B172,$D$9:$D$208,"&lt;"&amp;(E172-1/1440),$E$9:$E$208,"&gt;"&amp;(D172+1/1440))&gt;1,"CONFLICT","OK")))</f>
        <v/>
      </c>
    </row>
    <row r="173" customFormat="false" ht="15" hidden="false" customHeight="false" outlineLevel="0" collapsed="false">
      <c r="A173" s="9"/>
      <c r="B173" s="10"/>
      <c r="C173" s="11" t="str">
        <f aca="false">IF(B173="","",CHOOSE(WEEKDAY(B173),"Sun","Mon","Tue","Wed","Thu","Fri","Sat"))</f>
        <v/>
      </c>
      <c r="D173" s="12"/>
      <c r="E173" s="12"/>
      <c r="F173" s="13" t="str">
        <f aca="false">IF(OR(D173="",E173=""),"",IF(E173&gt;D173,(E173-D173)*24,""))</f>
        <v/>
      </c>
      <c r="G173" s="9"/>
      <c r="H173" s="11" t="str">
        <f aca="false">IF(OR(A173="",B173="",D173="",E173=""),"",IF(E173&lt;=D173,"End before start",IF(COUNTIFS($B$9:$B$208,B173,$D$9:$D$208,"&lt;"&amp;(E173-1/1440),$E$9:$E$208,"&gt;"&amp;(D173+1/1440))&gt;1,"CONFLICT","OK")))</f>
        <v/>
      </c>
    </row>
    <row r="174" customFormat="false" ht="15" hidden="false" customHeight="false" outlineLevel="0" collapsed="false">
      <c r="A174" s="9"/>
      <c r="B174" s="10"/>
      <c r="C174" s="11" t="str">
        <f aca="false">IF(B174="","",CHOOSE(WEEKDAY(B174),"Sun","Mon","Tue","Wed","Thu","Fri","Sat"))</f>
        <v/>
      </c>
      <c r="D174" s="12"/>
      <c r="E174" s="12"/>
      <c r="F174" s="13" t="str">
        <f aca="false">IF(OR(D174="",E174=""),"",IF(E174&gt;D174,(E174-D174)*24,""))</f>
        <v/>
      </c>
      <c r="G174" s="9"/>
      <c r="H174" s="11" t="str">
        <f aca="false">IF(OR(A174="",B174="",D174="",E174=""),"",IF(E174&lt;=D174,"End before start",IF(COUNTIFS($B$9:$B$208,B174,$D$9:$D$208,"&lt;"&amp;(E174-1/1440),$E$9:$E$208,"&gt;"&amp;(D174+1/1440))&gt;1,"CONFLICT","OK")))</f>
        <v/>
      </c>
    </row>
    <row r="175" customFormat="false" ht="15" hidden="false" customHeight="false" outlineLevel="0" collapsed="false">
      <c r="A175" s="9"/>
      <c r="B175" s="10"/>
      <c r="C175" s="11" t="str">
        <f aca="false">IF(B175="","",CHOOSE(WEEKDAY(B175),"Sun","Mon","Tue","Wed","Thu","Fri","Sat"))</f>
        <v/>
      </c>
      <c r="D175" s="12"/>
      <c r="E175" s="12"/>
      <c r="F175" s="13" t="str">
        <f aca="false">IF(OR(D175="",E175=""),"",IF(E175&gt;D175,(E175-D175)*24,""))</f>
        <v/>
      </c>
      <c r="G175" s="9"/>
      <c r="H175" s="11" t="str">
        <f aca="false">IF(OR(A175="",B175="",D175="",E175=""),"",IF(E175&lt;=D175,"End before start",IF(COUNTIFS($B$9:$B$208,B175,$D$9:$D$208,"&lt;"&amp;(E175-1/1440),$E$9:$E$208,"&gt;"&amp;(D175+1/1440))&gt;1,"CONFLICT","OK")))</f>
        <v/>
      </c>
    </row>
    <row r="176" customFormat="false" ht="15" hidden="false" customHeight="false" outlineLevel="0" collapsed="false">
      <c r="A176" s="9"/>
      <c r="B176" s="10"/>
      <c r="C176" s="11" t="str">
        <f aca="false">IF(B176="","",CHOOSE(WEEKDAY(B176),"Sun","Mon","Tue","Wed","Thu","Fri","Sat"))</f>
        <v/>
      </c>
      <c r="D176" s="12"/>
      <c r="E176" s="12"/>
      <c r="F176" s="13" t="str">
        <f aca="false">IF(OR(D176="",E176=""),"",IF(E176&gt;D176,(E176-D176)*24,""))</f>
        <v/>
      </c>
      <c r="G176" s="9"/>
      <c r="H176" s="11" t="str">
        <f aca="false">IF(OR(A176="",B176="",D176="",E176=""),"",IF(E176&lt;=D176,"End before start",IF(COUNTIFS($B$9:$B$208,B176,$D$9:$D$208,"&lt;"&amp;(E176-1/1440),$E$9:$E$208,"&gt;"&amp;(D176+1/1440))&gt;1,"CONFLICT","OK")))</f>
        <v/>
      </c>
    </row>
    <row r="177" customFormat="false" ht="15" hidden="false" customHeight="false" outlineLevel="0" collapsed="false">
      <c r="A177" s="9"/>
      <c r="B177" s="10"/>
      <c r="C177" s="11" t="str">
        <f aca="false">IF(B177="","",CHOOSE(WEEKDAY(B177),"Sun","Mon","Tue","Wed","Thu","Fri","Sat"))</f>
        <v/>
      </c>
      <c r="D177" s="12"/>
      <c r="E177" s="12"/>
      <c r="F177" s="13" t="str">
        <f aca="false">IF(OR(D177="",E177=""),"",IF(E177&gt;D177,(E177-D177)*24,""))</f>
        <v/>
      </c>
      <c r="G177" s="9"/>
      <c r="H177" s="11" t="str">
        <f aca="false">IF(OR(A177="",B177="",D177="",E177=""),"",IF(E177&lt;=D177,"End before start",IF(COUNTIFS($B$9:$B$208,B177,$D$9:$D$208,"&lt;"&amp;(E177-1/1440),$E$9:$E$208,"&gt;"&amp;(D177+1/1440))&gt;1,"CONFLICT","OK")))</f>
        <v/>
      </c>
    </row>
    <row r="178" customFormat="false" ht="15" hidden="false" customHeight="false" outlineLevel="0" collapsed="false">
      <c r="A178" s="9"/>
      <c r="B178" s="10"/>
      <c r="C178" s="11" t="str">
        <f aca="false">IF(B178="","",CHOOSE(WEEKDAY(B178),"Sun","Mon","Tue","Wed","Thu","Fri","Sat"))</f>
        <v/>
      </c>
      <c r="D178" s="12"/>
      <c r="E178" s="12"/>
      <c r="F178" s="13" t="str">
        <f aca="false">IF(OR(D178="",E178=""),"",IF(E178&gt;D178,(E178-D178)*24,""))</f>
        <v/>
      </c>
      <c r="G178" s="9"/>
      <c r="H178" s="11" t="str">
        <f aca="false">IF(OR(A178="",B178="",D178="",E178=""),"",IF(E178&lt;=D178,"End before start",IF(COUNTIFS($B$9:$B$208,B178,$D$9:$D$208,"&lt;"&amp;(E178-1/1440),$E$9:$E$208,"&gt;"&amp;(D178+1/1440))&gt;1,"CONFLICT","OK")))</f>
        <v/>
      </c>
    </row>
    <row r="179" customFormat="false" ht="15" hidden="false" customHeight="false" outlineLevel="0" collapsed="false">
      <c r="A179" s="9"/>
      <c r="B179" s="10"/>
      <c r="C179" s="11" t="str">
        <f aca="false">IF(B179="","",CHOOSE(WEEKDAY(B179),"Sun","Mon","Tue","Wed","Thu","Fri","Sat"))</f>
        <v/>
      </c>
      <c r="D179" s="12"/>
      <c r="E179" s="12"/>
      <c r="F179" s="13" t="str">
        <f aca="false">IF(OR(D179="",E179=""),"",IF(E179&gt;D179,(E179-D179)*24,""))</f>
        <v/>
      </c>
      <c r="G179" s="9"/>
      <c r="H179" s="11" t="str">
        <f aca="false">IF(OR(A179="",B179="",D179="",E179=""),"",IF(E179&lt;=D179,"End before start",IF(COUNTIFS($B$9:$B$208,B179,$D$9:$D$208,"&lt;"&amp;(E179-1/1440),$E$9:$E$208,"&gt;"&amp;(D179+1/1440))&gt;1,"CONFLICT","OK")))</f>
        <v/>
      </c>
    </row>
    <row r="180" customFormat="false" ht="15" hidden="false" customHeight="false" outlineLevel="0" collapsed="false">
      <c r="A180" s="9"/>
      <c r="B180" s="10"/>
      <c r="C180" s="11" t="str">
        <f aca="false">IF(B180="","",CHOOSE(WEEKDAY(B180),"Sun","Mon","Tue","Wed","Thu","Fri","Sat"))</f>
        <v/>
      </c>
      <c r="D180" s="12"/>
      <c r="E180" s="12"/>
      <c r="F180" s="13" t="str">
        <f aca="false">IF(OR(D180="",E180=""),"",IF(E180&gt;D180,(E180-D180)*24,""))</f>
        <v/>
      </c>
      <c r="G180" s="9"/>
      <c r="H180" s="11" t="str">
        <f aca="false">IF(OR(A180="",B180="",D180="",E180=""),"",IF(E180&lt;=D180,"End before start",IF(COUNTIFS($B$9:$B$208,B180,$D$9:$D$208,"&lt;"&amp;(E180-1/1440),$E$9:$E$208,"&gt;"&amp;(D180+1/1440))&gt;1,"CONFLICT","OK")))</f>
        <v/>
      </c>
    </row>
    <row r="181" customFormat="false" ht="15" hidden="false" customHeight="false" outlineLevel="0" collapsed="false">
      <c r="A181" s="9"/>
      <c r="B181" s="10"/>
      <c r="C181" s="11" t="str">
        <f aca="false">IF(B181="","",CHOOSE(WEEKDAY(B181),"Sun","Mon","Tue","Wed","Thu","Fri","Sat"))</f>
        <v/>
      </c>
      <c r="D181" s="12"/>
      <c r="E181" s="12"/>
      <c r="F181" s="13" t="str">
        <f aca="false">IF(OR(D181="",E181=""),"",IF(E181&gt;D181,(E181-D181)*24,""))</f>
        <v/>
      </c>
      <c r="G181" s="9"/>
      <c r="H181" s="11" t="str">
        <f aca="false">IF(OR(A181="",B181="",D181="",E181=""),"",IF(E181&lt;=D181,"End before start",IF(COUNTIFS($B$9:$B$208,B181,$D$9:$D$208,"&lt;"&amp;(E181-1/1440),$E$9:$E$208,"&gt;"&amp;(D181+1/1440))&gt;1,"CONFLICT","OK")))</f>
        <v/>
      </c>
    </row>
    <row r="182" customFormat="false" ht="15" hidden="false" customHeight="false" outlineLevel="0" collapsed="false">
      <c r="A182" s="9"/>
      <c r="B182" s="10"/>
      <c r="C182" s="11" t="str">
        <f aca="false">IF(B182="","",CHOOSE(WEEKDAY(B182),"Sun","Mon","Tue","Wed","Thu","Fri","Sat"))</f>
        <v/>
      </c>
      <c r="D182" s="12"/>
      <c r="E182" s="12"/>
      <c r="F182" s="13" t="str">
        <f aca="false">IF(OR(D182="",E182=""),"",IF(E182&gt;D182,(E182-D182)*24,""))</f>
        <v/>
      </c>
      <c r="G182" s="9"/>
      <c r="H182" s="11" t="str">
        <f aca="false">IF(OR(A182="",B182="",D182="",E182=""),"",IF(E182&lt;=D182,"End before start",IF(COUNTIFS($B$9:$B$208,B182,$D$9:$D$208,"&lt;"&amp;(E182-1/1440),$E$9:$E$208,"&gt;"&amp;(D182+1/1440))&gt;1,"CONFLICT","OK")))</f>
        <v/>
      </c>
    </row>
    <row r="183" customFormat="false" ht="15" hidden="false" customHeight="false" outlineLevel="0" collapsed="false">
      <c r="A183" s="9"/>
      <c r="B183" s="10"/>
      <c r="C183" s="11" t="str">
        <f aca="false">IF(B183="","",CHOOSE(WEEKDAY(B183),"Sun","Mon","Tue","Wed","Thu","Fri","Sat"))</f>
        <v/>
      </c>
      <c r="D183" s="12"/>
      <c r="E183" s="12"/>
      <c r="F183" s="13" t="str">
        <f aca="false">IF(OR(D183="",E183=""),"",IF(E183&gt;D183,(E183-D183)*24,""))</f>
        <v/>
      </c>
      <c r="G183" s="9"/>
      <c r="H183" s="11" t="str">
        <f aca="false">IF(OR(A183="",B183="",D183="",E183=""),"",IF(E183&lt;=D183,"End before start",IF(COUNTIFS($B$9:$B$208,B183,$D$9:$D$208,"&lt;"&amp;(E183-1/1440),$E$9:$E$208,"&gt;"&amp;(D183+1/1440))&gt;1,"CONFLICT","OK")))</f>
        <v/>
      </c>
    </row>
    <row r="184" customFormat="false" ht="15" hidden="false" customHeight="false" outlineLevel="0" collapsed="false">
      <c r="A184" s="9"/>
      <c r="B184" s="10"/>
      <c r="C184" s="11" t="str">
        <f aca="false">IF(B184="","",CHOOSE(WEEKDAY(B184),"Sun","Mon","Tue","Wed","Thu","Fri","Sat"))</f>
        <v/>
      </c>
      <c r="D184" s="12"/>
      <c r="E184" s="12"/>
      <c r="F184" s="13" t="str">
        <f aca="false">IF(OR(D184="",E184=""),"",IF(E184&gt;D184,(E184-D184)*24,""))</f>
        <v/>
      </c>
      <c r="G184" s="9"/>
      <c r="H184" s="11" t="str">
        <f aca="false">IF(OR(A184="",B184="",D184="",E184=""),"",IF(E184&lt;=D184,"End before start",IF(COUNTIFS($B$9:$B$208,B184,$D$9:$D$208,"&lt;"&amp;(E184-1/1440),$E$9:$E$208,"&gt;"&amp;(D184+1/1440))&gt;1,"CONFLICT","OK")))</f>
        <v/>
      </c>
    </row>
    <row r="185" customFormat="false" ht="15" hidden="false" customHeight="false" outlineLevel="0" collapsed="false">
      <c r="A185" s="9"/>
      <c r="B185" s="10"/>
      <c r="C185" s="11" t="str">
        <f aca="false">IF(B185="","",CHOOSE(WEEKDAY(B185),"Sun","Mon","Tue","Wed","Thu","Fri","Sat"))</f>
        <v/>
      </c>
      <c r="D185" s="12"/>
      <c r="E185" s="12"/>
      <c r="F185" s="13" t="str">
        <f aca="false">IF(OR(D185="",E185=""),"",IF(E185&gt;D185,(E185-D185)*24,""))</f>
        <v/>
      </c>
      <c r="G185" s="9"/>
      <c r="H185" s="11" t="str">
        <f aca="false">IF(OR(A185="",B185="",D185="",E185=""),"",IF(E185&lt;=D185,"End before start",IF(COUNTIFS($B$9:$B$208,B185,$D$9:$D$208,"&lt;"&amp;(E185-1/1440),$E$9:$E$208,"&gt;"&amp;(D185+1/1440))&gt;1,"CONFLICT","OK")))</f>
        <v/>
      </c>
    </row>
    <row r="186" customFormat="false" ht="15" hidden="false" customHeight="false" outlineLevel="0" collapsed="false">
      <c r="A186" s="9"/>
      <c r="B186" s="10"/>
      <c r="C186" s="11" t="str">
        <f aca="false">IF(B186="","",CHOOSE(WEEKDAY(B186),"Sun","Mon","Tue","Wed","Thu","Fri","Sat"))</f>
        <v/>
      </c>
      <c r="D186" s="12"/>
      <c r="E186" s="12"/>
      <c r="F186" s="13" t="str">
        <f aca="false">IF(OR(D186="",E186=""),"",IF(E186&gt;D186,(E186-D186)*24,""))</f>
        <v/>
      </c>
      <c r="G186" s="9"/>
      <c r="H186" s="11" t="str">
        <f aca="false">IF(OR(A186="",B186="",D186="",E186=""),"",IF(E186&lt;=D186,"End before start",IF(COUNTIFS($B$9:$B$208,B186,$D$9:$D$208,"&lt;"&amp;(E186-1/1440),$E$9:$E$208,"&gt;"&amp;(D186+1/1440))&gt;1,"CONFLICT","OK")))</f>
        <v/>
      </c>
    </row>
    <row r="187" customFormat="false" ht="15" hidden="false" customHeight="false" outlineLevel="0" collapsed="false">
      <c r="A187" s="9"/>
      <c r="B187" s="10"/>
      <c r="C187" s="11" t="str">
        <f aca="false">IF(B187="","",CHOOSE(WEEKDAY(B187),"Sun","Mon","Tue","Wed","Thu","Fri","Sat"))</f>
        <v/>
      </c>
      <c r="D187" s="12"/>
      <c r="E187" s="12"/>
      <c r="F187" s="13" t="str">
        <f aca="false">IF(OR(D187="",E187=""),"",IF(E187&gt;D187,(E187-D187)*24,""))</f>
        <v/>
      </c>
      <c r="G187" s="9"/>
      <c r="H187" s="11" t="str">
        <f aca="false">IF(OR(A187="",B187="",D187="",E187=""),"",IF(E187&lt;=D187,"End before start",IF(COUNTIFS($B$9:$B$208,B187,$D$9:$D$208,"&lt;"&amp;(E187-1/1440),$E$9:$E$208,"&gt;"&amp;(D187+1/1440))&gt;1,"CONFLICT","OK")))</f>
        <v/>
      </c>
    </row>
    <row r="188" customFormat="false" ht="15" hidden="false" customHeight="false" outlineLevel="0" collapsed="false">
      <c r="A188" s="9"/>
      <c r="B188" s="10"/>
      <c r="C188" s="11" t="str">
        <f aca="false">IF(B188="","",CHOOSE(WEEKDAY(B188),"Sun","Mon","Tue","Wed","Thu","Fri","Sat"))</f>
        <v/>
      </c>
      <c r="D188" s="12"/>
      <c r="E188" s="12"/>
      <c r="F188" s="13" t="str">
        <f aca="false">IF(OR(D188="",E188=""),"",IF(E188&gt;D188,(E188-D188)*24,""))</f>
        <v/>
      </c>
      <c r="G188" s="9"/>
      <c r="H188" s="11" t="str">
        <f aca="false">IF(OR(A188="",B188="",D188="",E188=""),"",IF(E188&lt;=D188,"End before start",IF(COUNTIFS($B$9:$B$208,B188,$D$9:$D$208,"&lt;"&amp;(E188-1/1440),$E$9:$E$208,"&gt;"&amp;(D188+1/1440))&gt;1,"CONFLICT","OK")))</f>
        <v/>
      </c>
    </row>
    <row r="189" customFormat="false" ht="15" hidden="false" customHeight="false" outlineLevel="0" collapsed="false">
      <c r="A189" s="9"/>
      <c r="B189" s="10"/>
      <c r="C189" s="11" t="str">
        <f aca="false">IF(B189="","",CHOOSE(WEEKDAY(B189),"Sun","Mon","Tue","Wed","Thu","Fri","Sat"))</f>
        <v/>
      </c>
      <c r="D189" s="12"/>
      <c r="E189" s="12"/>
      <c r="F189" s="13" t="str">
        <f aca="false">IF(OR(D189="",E189=""),"",IF(E189&gt;D189,(E189-D189)*24,""))</f>
        <v/>
      </c>
      <c r="G189" s="9"/>
      <c r="H189" s="11" t="str">
        <f aca="false">IF(OR(A189="",B189="",D189="",E189=""),"",IF(E189&lt;=D189,"End before start",IF(COUNTIFS($B$9:$B$208,B189,$D$9:$D$208,"&lt;"&amp;(E189-1/1440),$E$9:$E$208,"&gt;"&amp;(D189+1/1440))&gt;1,"CONFLICT","OK")))</f>
        <v/>
      </c>
    </row>
    <row r="190" customFormat="false" ht="15" hidden="false" customHeight="false" outlineLevel="0" collapsed="false">
      <c r="A190" s="9"/>
      <c r="B190" s="10"/>
      <c r="C190" s="11" t="str">
        <f aca="false">IF(B190="","",CHOOSE(WEEKDAY(B190),"Sun","Mon","Tue","Wed","Thu","Fri","Sat"))</f>
        <v/>
      </c>
      <c r="D190" s="12"/>
      <c r="E190" s="12"/>
      <c r="F190" s="13" t="str">
        <f aca="false">IF(OR(D190="",E190=""),"",IF(E190&gt;D190,(E190-D190)*24,""))</f>
        <v/>
      </c>
      <c r="G190" s="9"/>
      <c r="H190" s="11" t="str">
        <f aca="false">IF(OR(A190="",B190="",D190="",E190=""),"",IF(E190&lt;=D190,"End before start",IF(COUNTIFS($B$9:$B$208,B190,$D$9:$D$208,"&lt;"&amp;(E190-1/1440),$E$9:$E$208,"&gt;"&amp;(D190+1/1440))&gt;1,"CONFLICT","OK")))</f>
        <v/>
      </c>
    </row>
    <row r="191" customFormat="false" ht="15" hidden="false" customHeight="false" outlineLevel="0" collapsed="false">
      <c r="A191" s="9"/>
      <c r="B191" s="10"/>
      <c r="C191" s="11" t="str">
        <f aca="false">IF(B191="","",CHOOSE(WEEKDAY(B191),"Sun","Mon","Tue","Wed","Thu","Fri","Sat"))</f>
        <v/>
      </c>
      <c r="D191" s="12"/>
      <c r="E191" s="12"/>
      <c r="F191" s="13" t="str">
        <f aca="false">IF(OR(D191="",E191=""),"",IF(E191&gt;D191,(E191-D191)*24,""))</f>
        <v/>
      </c>
      <c r="G191" s="9"/>
      <c r="H191" s="11" t="str">
        <f aca="false">IF(OR(A191="",B191="",D191="",E191=""),"",IF(E191&lt;=D191,"End before start",IF(COUNTIFS($B$9:$B$208,B191,$D$9:$D$208,"&lt;"&amp;(E191-1/1440),$E$9:$E$208,"&gt;"&amp;(D191+1/1440))&gt;1,"CONFLICT","OK")))</f>
        <v/>
      </c>
    </row>
    <row r="192" customFormat="false" ht="15" hidden="false" customHeight="false" outlineLevel="0" collapsed="false">
      <c r="A192" s="9"/>
      <c r="B192" s="10"/>
      <c r="C192" s="11" t="str">
        <f aca="false">IF(B192="","",CHOOSE(WEEKDAY(B192),"Sun","Mon","Tue","Wed","Thu","Fri","Sat"))</f>
        <v/>
      </c>
      <c r="D192" s="12"/>
      <c r="E192" s="12"/>
      <c r="F192" s="13" t="str">
        <f aca="false">IF(OR(D192="",E192=""),"",IF(E192&gt;D192,(E192-D192)*24,""))</f>
        <v/>
      </c>
      <c r="G192" s="9"/>
      <c r="H192" s="11" t="str">
        <f aca="false">IF(OR(A192="",B192="",D192="",E192=""),"",IF(E192&lt;=D192,"End before start",IF(COUNTIFS($B$9:$B$208,B192,$D$9:$D$208,"&lt;"&amp;(E192-1/1440),$E$9:$E$208,"&gt;"&amp;(D192+1/1440))&gt;1,"CONFLICT","OK")))</f>
        <v/>
      </c>
    </row>
    <row r="193" customFormat="false" ht="15" hidden="false" customHeight="false" outlineLevel="0" collapsed="false">
      <c r="A193" s="9"/>
      <c r="B193" s="10"/>
      <c r="C193" s="11" t="str">
        <f aca="false">IF(B193="","",CHOOSE(WEEKDAY(B193),"Sun","Mon","Tue","Wed","Thu","Fri","Sat"))</f>
        <v/>
      </c>
      <c r="D193" s="12"/>
      <c r="E193" s="12"/>
      <c r="F193" s="13" t="str">
        <f aca="false">IF(OR(D193="",E193=""),"",IF(E193&gt;D193,(E193-D193)*24,""))</f>
        <v/>
      </c>
      <c r="G193" s="9"/>
      <c r="H193" s="11" t="str">
        <f aca="false">IF(OR(A193="",B193="",D193="",E193=""),"",IF(E193&lt;=D193,"End before start",IF(COUNTIFS($B$9:$B$208,B193,$D$9:$D$208,"&lt;"&amp;(E193-1/1440),$E$9:$E$208,"&gt;"&amp;(D193+1/1440))&gt;1,"CONFLICT","OK")))</f>
        <v/>
      </c>
    </row>
    <row r="194" customFormat="false" ht="15" hidden="false" customHeight="false" outlineLevel="0" collapsed="false">
      <c r="A194" s="9"/>
      <c r="B194" s="10"/>
      <c r="C194" s="11" t="str">
        <f aca="false">IF(B194="","",CHOOSE(WEEKDAY(B194),"Sun","Mon","Tue","Wed","Thu","Fri","Sat"))</f>
        <v/>
      </c>
      <c r="D194" s="12"/>
      <c r="E194" s="12"/>
      <c r="F194" s="13" t="str">
        <f aca="false">IF(OR(D194="",E194=""),"",IF(E194&gt;D194,(E194-D194)*24,""))</f>
        <v/>
      </c>
      <c r="G194" s="9"/>
      <c r="H194" s="11" t="str">
        <f aca="false">IF(OR(A194="",B194="",D194="",E194=""),"",IF(E194&lt;=D194,"End before start",IF(COUNTIFS($B$9:$B$208,B194,$D$9:$D$208,"&lt;"&amp;(E194-1/1440),$E$9:$E$208,"&gt;"&amp;(D194+1/1440))&gt;1,"CONFLICT","OK")))</f>
        <v/>
      </c>
    </row>
    <row r="195" customFormat="false" ht="15" hidden="false" customHeight="false" outlineLevel="0" collapsed="false">
      <c r="A195" s="9"/>
      <c r="B195" s="10"/>
      <c r="C195" s="11" t="str">
        <f aca="false">IF(B195="","",CHOOSE(WEEKDAY(B195),"Sun","Mon","Tue","Wed","Thu","Fri","Sat"))</f>
        <v/>
      </c>
      <c r="D195" s="12"/>
      <c r="E195" s="12"/>
      <c r="F195" s="13" t="str">
        <f aca="false">IF(OR(D195="",E195=""),"",IF(E195&gt;D195,(E195-D195)*24,""))</f>
        <v/>
      </c>
      <c r="G195" s="9"/>
      <c r="H195" s="11" t="str">
        <f aca="false">IF(OR(A195="",B195="",D195="",E195=""),"",IF(E195&lt;=D195,"End before start",IF(COUNTIFS($B$9:$B$208,B195,$D$9:$D$208,"&lt;"&amp;(E195-1/1440),$E$9:$E$208,"&gt;"&amp;(D195+1/1440))&gt;1,"CONFLICT","OK")))</f>
        <v/>
      </c>
    </row>
    <row r="196" customFormat="false" ht="15" hidden="false" customHeight="false" outlineLevel="0" collapsed="false">
      <c r="A196" s="9"/>
      <c r="B196" s="10"/>
      <c r="C196" s="11" t="str">
        <f aca="false">IF(B196="","",CHOOSE(WEEKDAY(B196),"Sun","Mon","Tue","Wed","Thu","Fri","Sat"))</f>
        <v/>
      </c>
      <c r="D196" s="12"/>
      <c r="E196" s="12"/>
      <c r="F196" s="13" t="str">
        <f aca="false">IF(OR(D196="",E196=""),"",IF(E196&gt;D196,(E196-D196)*24,""))</f>
        <v/>
      </c>
      <c r="G196" s="9"/>
      <c r="H196" s="11" t="str">
        <f aca="false">IF(OR(A196="",B196="",D196="",E196=""),"",IF(E196&lt;=D196,"End before start",IF(COUNTIFS($B$9:$B$208,B196,$D$9:$D$208,"&lt;"&amp;(E196-1/1440),$E$9:$E$208,"&gt;"&amp;(D196+1/1440))&gt;1,"CONFLICT","OK")))</f>
        <v/>
      </c>
    </row>
    <row r="197" customFormat="false" ht="15" hidden="false" customHeight="false" outlineLevel="0" collapsed="false">
      <c r="A197" s="9"/>
      <c r="B197" s="10"/>
      <c r="C197" s="11" t="str">
        <f aca="false">IF(B197="","",CHOOSE(WEEKDAY(B197),"Sun","Mon","Tue","Wed","Thu","Fri","Sat"))</f>
        <v/>
      </c>
      <c r="D197" s="12"/>
      <c r="E197" s="12"/>
      <c r="F197" s="13" t="str">
        <f aca="false">IF(OR(D197="",E197=""),"",IF(E197&gt;D197,(E197-D197)*24,""))</f>
        <v/>
      </c>
      <c r="G197" s="9"/>
      <c r="H197" s="11" t="str">
        <f aca="false">IF(OR(A197="",B197="",D197="",E197=""),"",IF(E197&lt;=D197,"End before start",IF(COUNTIFS($B$9:$B$208,B197,$D$9:$D$208,"&lt;"&amp;(E197-1/1440),$E$9:$E$208,"&gt;"&amp;(D197+1/1440))&gt;1,"CONFLICT","OK")))</f>
        <v/>
      </c>
    </row>
    <row r="198" customFormat="false" ht="15" hidden="false" customHeight="false" outlineLevel="0" collapsed="false">
      <c r="A198" s="9"/>
      <c r="B198" s="10"/>
      <c r="C198" s="11" t="str">
        <f aca="false">IF(B198="","",CHOOSE(WEEKDAY(B198),"Sun","Mon","Tue","Wed","Thu","Fri","Sat"))</f>
        <v/>
      </c>
      <c r="D198" s="12"/>
      <c r="E198" s="12"/>
      <c r="F198" s="13" t="str">
        <f aca="false">IF(OR(D198="",E198=""),"",IF(E198&gt;D198,(E198-D198)*24,""))</f>
        <v/>
      </c>
      <c r="G198" s="9"/>
      <c r="H198" s="11" t="str">
        <f aca="false">IF(OR(A198="",B198="",D198="",E198=""),"",IF(E198&lt;=D198,"End before start",IF(COUNTIFS($B$9:$B$208,B198,$D$9:$D$208,"&lt;"&amp;(E198-1/1440),$E$9:$E$208,"&gt;"&amp;(D198+1/1440))&gt;1,"CONFLICT","OK")))</f>
        <v/>
      </c>
    </row>
    <row r="199" customFormat="false" ht="15" hidden="false" customHeight="false" outlineLevel="0" collapsed="false">
      <c r="A199" s="9"/>
      <c r="B199" s="10"/>
      <c r="C199" s="11" t="str">
        <f aca="false">IF(B199="","",CHOOSE(WEEKDAY(B199),"Sun","Mon","Tue","Wed","Thu","Fri","Sat"))</f>
        <v/>
      </c>
      <c r="D199" s="12"/>
      <c r="E199" s="12"/>
      <c r="F199" s="13" t="str">
        <f aca="false">IF(OR(D199="",E199=""),"",IF(E199&gt;D199,(E199-D199)*24,""))</f>
        <v/>
      </c>
      <c r="G199" s="9"/>
      <c r="H199" s="11" t="str">
        <f aca="false">IF(OR(A199="",B199="",D199="",E199=""),"",IF(E199&lt;=D199,"End before start",IF(COUNTIFS($B$9:$B$208,B199,$D$9:$D$208,"&lt;"&amp;(E199-1/1440),$E$9:$E$208,"&gt;"&amp;(D199+1/1440))&gt;1,"CONFLICT","OK")))</f>
        <v/>
      </c>
    </row>
    <row r="200" customFormat="false" ht="15" hidden="false" customHeight="false" outlineLevel="0" collapsed="false">
      <c r="A200" s="9"/>
      <c r="B200" s="10"/>
      <c r="C200" s="11" t="str">
        <f aca="false">IF(B200="","",CHOOSE(WEEKDAY(B200),"Sun","Mon","Tue","Wed","Thu","Fri","Sat"))</f>
        <v/>
      </c>
      <c r="D200" s="12"/>
      <c r="E200" s="12"/>
      <c r="F200" s="13" t="str">
        <f aca="false">IF(OR(D200="",E200=""),"",IF(E200&gt;D200,(E200-D200)*24,""))</f>
        <v/>
      </c>
      <c r="G200" s="9"/>
      <c r="H200" s="11" t="str">
        <f aca="false">IF(OR(A200="",B200="",D200="",E200=""),"",IF(E200&lt;=D200,"End before start",IF(COUNTIFS($B$9:$B$208,B200,$D$9:$D$208,"&lt;"&amp;(E200-1/1440),$E$9:$E$208,"&gt;"&amp;(D200+1/1440))&gt;1,"CONFLICT","OK")))</f>
        <v/>
      </c>
    </row>
    <row r="201" customFormat="false" ht="15" hidden="false" customHeight="false" outlineLevel="0" collapsed="false">
      <c r="A201" s="9"/>
      <c r="B201" s="10"/>
      <c r="C201" s="11" t="str">
        <f aca="false">IF(B201="","",CHOOSE(WEEKDAY(B201),"Sun","Mon","Tue","Wed","Thu","Fri","Sat"))</f>
        <v/>
      </c>
      <c r="D201" s="12"/>
      <c r="E201" s="12"/>
      <c r="F201" s="13" t="str">
        <f aca="false">IF(OR(D201="",E201=""),"",IF(E201&gt;D201,(E201-D201)*24,""))</f>
        <v/>
      </c>
      <c r="G201" s="9"/>
      <c r="H201" s="11" t="str">
        <f aca="false">IF(OR(A201="",B201="",D201="",E201=""),"",IF(E201&lt;=D201,"End before start",IF(COUNTIFS($B$9:$B$208,B201,$D$9:$D$208,"&lt;"&amp;(E201-1/1440),$E$9:$E$208,"&gt;"&amp;(D201+1/1440))&gt;1,"CONFLICT","OK")))</f>
        <v/>
      </c>
    </row>
    <row r="202" customFormat="false" ht="15" hidden="false" customHeight="false" outlineLevel="0" collapsed="false">
      <c r="A202" s="9"/>
      <c r="B202" s="10"/>
      <c r="C202" s="11" t="str">
        <f aca="false">IF(B202="","",CHOOSE(WEEKDAY(B202),"Sun","Mon","Tue","Wed","Thu","Fri","Sat"))</f>
        <v/>
      </c>
      <c r="D202" s="12"/>
      <c r="E202" s="12"/>
      <c r="F202" s="13" t="str">
        <f aca="false">IF(OR(D202="",E202=""),"",IF(E202&gt;D202,(E202-D202)*24,""))</f>
        <v/>
      </c>
      <c r="G202" s="9"/>
      <c r="H202" s="11" t="str">
        <f aca="false">IF(OR(A202="",B202="",D202="",E202=""),"",IF(E202&lt;=D202,"End before start",IF(COUNTIFS($B$9:$B$208,B202,$D$9:$D$208,"&lt;"&amp;(E202-1/1440),$E$9:$E$208,"&gt;"&amp;(D202+1/1440))&gt;1,"CONFLICT","OK")))</f>
        <v/>
      </c>
    </row>
    <row r="203" customFormat="false" ht="15" hidden="false" customHeight="false" outlineLevel="0" collapsed="false">
      <c r="A203" s="9"/>
      <c r="B203" s="10"/>
      <c r="C203" s="11" t="str">
        <f aca="false">IF(B203="","",CHOOSE(WEEKDAY(B203),"Sun","Mon","Tue","Wed","Thu","Fri","Sat"))</f>
        <v/>
      </c>
      <c r="D203" s="12"/>
      <c r="E203" s="12"/>
      <c r="F203" s="13" t="str">
        <f aca="false">IF(OR(D203="",E203=""),"",IF(E203&gt;D203,(E203-D203)*24,""))</f>
        <v/>
      </c>
      <c r="G203" s="9"/>
      <c r="H203" s="11" t="str">
        <f aca="false">IF(OR(A203="",B203="",D203="",E203=""),"",IF(E203&lt;=D203,"End before start",IF(COUNTIFS($B$9:$B$208,B203,$D$9:$D$208,"&lt;"&amp;(E203-1/1440),$E$9:$E$208,"&gt;"&amp;(D203+1/1440))&gt;1,"CONFLICT","OK")))</f>
        <v/>
      </c>
    </row>
    <row r="204" customFormat="false" ht="15" hidden="false" customHeight="false" outlineLevel="0" collapsed="false">
      <c r="A204" s="9"/>
      <c r="B204" s="10"/>
      <c r="C204" s="11" t="str">
        <f aca="false">IF(B204="","",CHOOSE(WEEKDAY(B204),"Sun","Mon","Tue","Wed","Thu","Fri","Sat"))</f>
        <v/>
      </c>
      <c r="D204" s="12"/>
      <c r="E204" s="12"/>
      <c r="F204" s="13" t="str">
        <f aca="false">IF(OR(D204="",E204=""),"",IF(E204&gt;D204,(E204-D204)*24,""))</f>
        <v/>
      </c>
      <c r="G204" s="9"/>
      <c r="H204" s="11" t="str">
        <f aca="false">IF(OR(A204="",B204="",D204="",E204=""),"",IF(E204&lt;=D204,"End before start",IF(COUNTIFS($B$9:$B$208,B204,$D$9:$D$208,"&lt;"&amp;(E204-1/1440),$E$9:$E$208,"&gt;"&amp;(D204+1/1440))&gt;1,"CONFLICT","OK")))</f>
        <v/>
      </c>
    </row>
    <row r="205" customFormat="false" ht="15" hidden="false" customHeight="false" outlineLevel="0" collapsed="false">
      <c r="A205" s="9"/>
      <c r="B205" s="10"/>
      <c r="C205" s="11" t="str">
        <f aca="false">IF(B205="","",CHOOSE(WEEKDAY(B205),"Sun","Mon","Tue","Wed","Thu","Fri","Sat"))</f>
        <v/>
      </c>
      <c r="D205" s="12"/>
      <c r="E205" s="12"/>
      <c r="F205" s="13" t="str">
        <f aca="false">IF(OR(D205="",E205=""),"",IF(E205&gt;D205,(E205-D205)*24,""))</f>
        <v/>
      </c>
      <c r="G205" s="9"/>
      <c r="H205" s="11" t="str">
        <f aca="false">IF(OR(A205="",B205="",D205="",E205=""),"",IF(E205&lt;=D205,"End before start",IF(COUNTIFS($B$9:$B$208,B205,$D$9:$D$208,"&lt;"&amp;(E205-1/1440),$E$9:$E$208,"&gt;"&amp;(D205+1/1440))&gt;1,"CONFLICT","OK")))</f>
        <v/>
      </c>
    </row>
    <row r="206" customFormat="false" ht="15" hidden="false" customHeight="false" outlineLevel="0" collapsed="false">
      <c r="A206" s="9"/>
      <c r="B206" s="10"/>
      <c r="C206" s="11" t="str">
        <f aca="false">IF(B206="","",CHOOSE(WEEKDAY(B206),"Sun","Mon","Tue","Wed","Thu","Fri","Sat"))</f>
        <v/>
      </c>
      <c r="D206" s="12"/>
      <c r="E206" s="12"/>
      <c r="F206" s="13" t="str">
        <f aca="false">IF(OR(D206="",E206=""),"",IF(E206&gt;D206,(E206-D206)*24,""))</f>
        <v/>
      </c>
      <c r="G206" s="9"/>
      <c r="H206" s="11" t="str">
        <f aca="false">IF(OR(A206="",B206="",D206="",E206=""),"",IF(E206&lt;=D206,"End before start",IF(COUNTIFS($B$9:$B$208,B206,$D$9:$D$208,"&lt;"&amp;(E206-1/1440),$E$9:$E$208,"&gt;"&amp;(D206+1/1440))&gt;1,"CONFLICT","OK")))</f>
        <v/>
      </c>
    </row>
    <row r="207" customFormat="false" ht="15" hidden="false" customHeight="false" outlineLevel="0" collapsed="false">
      <c r="A207" s="9"/>
      <c r="B207" s="10"/>
      <c r="C207" s="11" t="str">
        <f aca="false">IF(B207="","",CHOOSE(WEEKDAY(B207),"Sun","Mon","Tue","Wed","Thu","Fri","Sat"))</f>
        <v/>
      </c>
      <c r="D207" s="12"/>
      <c r="E207" s="12"/>
      <c r="F207" s="13" t="str">
        <f aca="false">IF(OR(D207="",E207=""),"",IF(E207&gt;D207,(E207-D207)*24,""))</f>
        <v/>
      </c>
      <c r="G207" s="9"/>
      <c r="H207" s="11" t="str">
        <f aca="false">IF(OR(A207="",B207="",D207="",E207=""),"",IF(E207&lt;=D207,"End before start",IF(COUNTIFS($B$9:$B$208,B207,$D$9:$D$208,"&lt;"&amp;(E207-1/1440),$E$9:$E$208,"&gt;"&amp;(D207+1/1440))&gt;1,"CONFLICT","OK")))</f>
        <v/>
      </c>
    </row>
    <row r="208" customFormat="false" ht="15" hidden="false" customHeight="false" outlineLevel="0" collapsed="false">
      <c r="A208" s="9"/>
      <c r="B208" s="10"/>
      <c r="C208" s="11" t="str">
        <f aca="false">IF(B208="","",CHOOSE(WEEKDAY(B208),"Sun","Mon","Tue","Wed","Thu","Fri","Sat"))</f>
        <v/>
      </c>
      <c r="D208" s="12"/>
      <c r="E208" s="12"/>
      <c r="F208" s="13" t="str">
        <f aca="false">IF(OR(D208="",E208=""),"",IF(E208&gt;D208,(E208-D208)*24,""))</f>
        <v/>
      </c>
      <c r="G208" s="9"/>
      <c r="H208" s="11" t="str">
        <f aca="false">IF(OR(A208="",B208="",D208="",E208=""),"",IF(E208&lt;=D208,"End before start",IF(COUNTIFS($B$9:$B$208,B208,$D$9:$D$208,"&lt;"&amp;(E208-1/1440),$E$9:$E$208,"&gt;"&amp;(D208+1/1440))&gt;1,"CONFLICT","OK")))</f>
        <v/>
      </c>
    </row>
  </sheetData>
  <conditionalFormatting sqref="L10:R26">
    <cfRule type="expression" priority="2" aboveAverage="0" equalAverage="0" bottom="0" percent="0" rank="0" text="" dxfId="0">
      <formula>L10="Mario Ortiz"</formula>
    </cfRule>
    <cfRule type="expression" priority="3" aboveAverage="0" equalAverage="0" bottom="0" percent="0" rank="0" text="" dxfId="1">
      <formula>L10="Shaoqin Li"</formula>
    </cfRule>
    <cfRule type="expression" priority="4" aboveAverage="0" equalAverage="0" bottom="0" percent="0" rank="0" text="" dxfId="2">
      <formula>L10="Cesar Pascal Vasquez"</formula>
    </cfRule>
    <cfRule type="expression" priority="5" aboveAverage="0" equalAverage="0" bottom="0" percent="0" rank="0" text="" dxfId="3">
      <formula>L10="Chu Lin"</formula>
    </cfRule>
    <cfRule type="expression" priority="6" aboveAverage="0" equalAverage="0" bottom="0" percent="0" rank="0" text="" dxfId="4">
      <formula>L10="CONFLICT"</formula>
    </cfRule>
  </conditionalFormatting>
  <conditionalFormatting sqref="H9:H208">
    <cfRule type="expression" priority="7" aboveAverage="0" equalAverage="0" bottom="0" percent="0" rank="0" text="" dxfId="4">
      <formula>H9="CONFLICT"</formula>
    </cfRule>
    <cfRule type="expression" priority="8" aboveAverage="0" equalAverage="0" bottom="0" percent="0" rank="0" text="" dxfId="5">
      <formula>H9="End before start"</formula>
    </cfRule>
    <cfRule type="expression" priority="9" aboveAverage="0" equalAverage="0" bottom="0" percent="0" rank="0" text="" dxfId="1">
      <formula>H9="OK"</formula>
    </cfRule>
  </conditionalFormatting>
  <conditionalFormatting sqref="A9:G208">
    <cfRule type="expression" priority="10" aboveAverage="0" equalAverage="0" bottom="0" percent="0" rank="0" text="" dxfId="6">
      <formula>AND($B9&lt;&gt;"",$B9&lt;TODAY())</formula>
    </cfRule>
  </conditionalFormatting>
  <dataValidations count="3">
    <dataValidation allowBlank="true" error="Choose your name from the list." errorStyle="stop" errorTitle="Pick a member" operator="between" showDropDown="false" showErrorMessage="true" showInputMessage="false" sqref="A9:A208" type="list">
      <formula1>$K$30:$K$33</formula1>
      <formula2>0</formula2>
    </dataValidation>
    <dataValidation allowBlank="true" error="Enter a date, e.g. 10/21/2026." errorStyle="stop" operator="greaterThan" showDropDown="false" showErrorMessage="true" showInputMessage="false" sqref="B9:B208" type="date">
      <formula1>DATE(2026,1,1)</formula1>
      <formula2>0</formula2>
    </dataValidation>
    <dataValidation allowBlank="true" error="Enter a time, e.g. 3:00 PM." errorStyle="stop" operator="between" showDropDown="false" showErrorMessage="true" showInputMessage="false" sqref="D9:E208" type="time">
      <formula1>0</formula1>
      <formula2>0.999988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15"/>
    <col collapsed="false" customWidth="true" hidden="false" outlineLevel="0" max="10" min="9" style="0" width="3"/>
    <col collapsed="false" customWidth="true" hidden="false" outlineLevel="0" max="11" min="11" style="0" width="21"/>
    <col collapsed="false" customWidth="true" hidden="false" outlineLevel="0" max="18" min="12" style="0" width="15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K7" s="4" t="s">
        <v>6</v>
      </c>
    </row>
    <row r="8" customFormat="false" ht="15" hidden="false" customHeight="false" outlineLevel="0" collapsed="false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K8" s="6" t="s">
        <v>15</v>
      </c>
      <c r="L8" s="7" t="n">
        <f aca="true">TODAY()-WEEKDAY(TODAY(),3)</f>
        <v>46307</v>
      </c>
      <c r="M8" s="8" t="s">
        <v>16</v>
      </c>
    </row>
    <row r="9" customFormat="false" ht="15" hidden="false" customHeight="false" outlineLevel="0" collapsed="false">
      <c r="A9" s="9"/>
      <c r="B9" s="10"/>
      <c r="C9" s="11" t="str">
        <f aca="false">IF(B9="","",CHOOSE(WEEKDAY(B9),"Sun","Mon","Tue","Wed","Thu","Fri","Sat"))</f>
        <v/>
      </c>
      <c r="D9" s="12"/>
      <c r="E9" s="12"/>
      <c r="F9" s="13" t="str">
        <f aca="false">IF(OR(D9="",E9=""),"",IF(E9&gt;D9,(E9-D9)*24,""))</f>
        <v/>
      </c>
      <c r="G9" s="9"/>
      <c r="H9" s="11" t="str">
        <f aca="false">IF(OR(A9="",B9="",D9="",E9=""),"",IF(E9&lt;=D9,"End before start",IF(COUNTIFS($B$9:$B$208,B9,$D$9:$D$208,"&lt;"&amp;(E9-1/1440),$E$9:$E$208,"&gt;"&amp;(D9+1/1440))&gt;1,"CONFLICT","OK")))</f>
        <v/>
      </c>
      <c r="K9" s="15" t="s">
        <v>19</v>
      </c>
      <c r="L9" s="16" t="n">
        <f aca="false">$L$8+0</f>
        <v>46307</v>
      </c>
      <c r="M9" s="16" t="n">
        <f aca="false">$L$8+1</f>
        <v>46308</v>
      </c>
      <c r="N9" s="16" t="n">
        <f aca="false">$L$8+2</f>
        <v>46309</v>
      </c>
      <c r="O9" s="16" t="n">
        <f aca="false">$L$8+3</f>
        <v>46310</v>
      </c>
      <c r="P9" s="16" t="n">
        <f aca="false">$L$8+4</f>
        <v>46311</v>
      </c>
      <c r="Q9" s="16" t="n">
        <f aca="false">$L$8+5</f>
        <v>46312</v>
      </c>
      <c r="R9" s="16" t="n">
        <f aca="false">$L$8+6</f>
        <v>46313</v>
      </c>
    </row>
    <row r="10" customFormat="false" ht="15" hidden="false" customHeight="false" outlineLevel="0" collapsed="false">
      <c r="A10" s="9"/>
      <c r="B10" s="10"/>
      <c r="C10" s="11" t="str">
        <f aca="false">IF(B10="","",CHOOSE(WEEKDAY(B10),"Sun","Mon","Tue","Wed","Thu","Fri","Sat"))</f>
        <v/>
      </c>
      <c r="D10" s="12"/>
      <c r="E10" s="12"/>
      <c r="F10" s="13" t="str">
        <f aca="false">IF(OR(D10="",E10=""),"",IF(E10&gt;D10,(E10-D10)*24,""))</f>
        <v/>
      </c>
      <c r="G10" s="9"/>
      <c r="H10" s="11" t="str">
        <f aca="false">IF(OR(A10="",B10="",D10="",E10=""),"",IF(E10&lt;=D10,"End before start",IF(COUNTIFS($B$9:$B$208,B10,$D$9:$D$208,"&lt;"&amp;(E10-1/1440),$E$9:$E$208,"&gt;"&amp;(D10+1/1440))&gt;1,"CONFLICT","OK")))</f>
        <v/>
      </c>
      <c r="K10" s="17" t="n">
        <v>0.291666666666667</v>
      </c>
      <c r="L10" s="18" t="str">
        <f aca="false">IF(COUNTIFS($B$9:$B$208,L$9,$D$9:$D$208,"&lt;"&amp;($K10+1/24-1/1440),$E$9:$E$208,"&gt;"&amp;($K10+1/1440))=0,"",IF(COUNTIFS($B$9:$B$208,L$9,$D$9:$D$208,"&lt;"&amp;($K10+1/24-1/1440),$E$9:$E$208,"&gt;"&amp;($K10+1/1440))&gt;1,"CONFLICT",INDEX($A$9:$A$208,SUMPRODUCT(MAX(($B$9:$B$208=L$9)*($D$9:$D$208&lt;$K10+1/24-1/1440)*($E$9:$E$208&gt;$K10+1/1440)*(ROW($B$9:$B$208)-8))))))</f>
        <v/>
      </c>
      <c r="M10" s="18" t="str">
        <f aca="false">IF(COUNTIFS($B$9:$B$208,M$9,$D$9:$D$208,"&lt;"&amp;($K10+1/24-1/1440),$E$9:$E$208,"&gt;"&amp;($K10+1/1440))=0,"",IF(COUNTIFS($B$9:$B$208,M$9,$D$9:$D$208,"&lt;"&amp;($K10+1/24-1/1440),$E$9:$E$208,"&gt;"&amp;($K10+1/1440))&gt;1,"CONFLICT",INDEX($A$9:$A$208,SUMPRODUCT(MAX(($B$9:$B$208=M$9)*($D$9:$D$208&lt;$K10+1/24-1/1440)*($E$9:$E$208&gt;$K10+1/1440)*(ROW($B$9:$B$208)-8))))))</f>
        <v/>
      </c>
      <c r="N10" s="18" t="str">
        <f aca="false">IF(COUNTIFS($B$9:$B$208,N$9,$D$9:$D$208,"&lt;"&amp;($K10+1/24-1/1440),$E$9:$E$208,"&gt;"&amp;($K10+1/1440))=0,"",IF(COUNTIFS($B$9:$B$208,N$9,$D$9:$D$208,"&lt;"&amp;($K10+1/24-1/1440),$E$9:$E$208,"&gt;"&amp;($K10+1/1440))&gt;1,"CONFLICT",INDEX($A$9:$A$208,SUMPRODUCT(MAX(($B$9:$B$208=N$9)*($D$9:$D$208&lt;$K10+1/24-1/1440)*($E$9:$E$208&gt;$K10+1/1440)*(ROW($B$9:$B$208)-8))))))</f>
        <v/>
      </c>
      <c r="O10" s="18" t="str">
        <f aca="false">IF(COUNTIFS($B$9:$B$208,O$9,$D$9:$D$208,"&lt;"&amp;($K10+1/24-1/1440),$E$9:$E$208,"&gt;"&amp;($K10+1/1440))=0,"",IF(COUNTIFS($B$9:$B$208,O$9,$D$9:$D$208,"&lt;"&amp;($K10+1/24-1/1440),$E$9:$E$208,"&gt;"&amp;($K10+1/1440))&gt;1,"CONFLICT",INDEX($A$9:$A$208,SUMPRODUCT(MAX(($B$9:$B$208=O$9)*($D$9:$D$208&lt;$K10+1/24-1/1440)*($E$9:$E$208&gt;$K10+1/1440)*(ROW($B$9:$B$208)-8))))))</f>
        <v/>
      </c>
      <c r="P10" s="18" t="str">
        <f aca="false">IF(COUNTIFS($B$9:$B$208,P$9,$D$9:$D$208,"&lt;"&amp;($K10+1/24-1/1440),$E$9:$E$208,"&gt;"&amp;($K10+1/1440))=0,"",IF(COUNTIFS($B$9:$B$208,P$9,$D$9:$D$208,"&lt;"&amp;($K10+1/24-1/1440),$E$9:$E$208,"&gt;"&amp;($K10+1/1440))&gt;1,"CONFLICT",INDEX($A$9:$A$208,SUMPRODUCT(MAX(($B$9:$B$208=P$9)*($D$9:$D$208&lt;$K10+1/24-1/1440)*($E$9:$E$208&gt;$K10+1/1440)*(ROW($B$9:$B$208)-8))))))</f>
        <v/>
      </c>
      <c r="Q10" s="18" t="str">
        <f aca="false">IF(COUNTIFS($B$9:$B$208,Q$9,$D$9:$D$208,"&lt;"&amp;($K10+1/24-1/1440),$E$9:$E$208,"&gt;"&amp;($K10+1/1440))=0,"",IF(COUNTIFS($B$9:$B$208,Q$9,$D$9:$D$208,"&lt;"&amp;($K10+1/24-1/1440),$E$9:$E$208,"&gt;"&amp;($K10+1/1440))&gt;1,"CONFLICT",INDEX($A$9:$A$208,SUMPRODUCT(MAX(($B$9:$B$208=Q$9)*($D$9:$D$208&lt;$K10+1/24-1/1440)*($E$9:$E$208&gt;$K10+1/1440)*(ROW($B$9:$B$208)-8))))))</f>
        <v/>
      </c>
      <c r="R10" s="18" t="str">
        <f aca="false">IF(COUNTIFS($B$9:$B$208,R$9,$D$9:$D$208,"&lt;"&amp;($K10+1/24-1/1440),$E$9:$E$208,"&gt;"&amp;($K10+1/1440))=0,"",IF(COUNTIFS($B$9:$B$208,R$9,$D$9:$D$208,"&lt;"&amp;($K10+1/24-1/1440),$E$9:$E$208,"&gt;"&amp;($K10+1/1440))&gt;1,"CONFLICT",INDEX($A$9:$A$208,SUMPRODUCT(MAX(($B$9:$B$208=R$9)*($D$9:$D$208&lt;$K10+1/24-1/1440)*($E$9:$E$208&gt;$K10+1/1440)*(ROW($B$9:$B$208)-8))))))</f>
        <v/>
      </c>
    </row>
    <row r="11" customFormat="false" ht="15" hidden="false" customHeight="false" outlineLevel="0" collapsed="false">
      <c r="A11" s="9"/>
      <c r="B11" s="10"/>
      <c r="C11" s="11" t="str">
        <f aca="false">IF(B11="","",CHOOSE(WEEKDAY(B11),"Sun","Mon","Tue","Wed","Thu","Fri","Sat"))</f>
        <v/>
      </c>
      <c r="D11" s="12"/>
      <c r="E11" s="12"/>
      <c r="F11" s="13" t="str">
        <f aca="false">IF(OR(D11="",E11=""),"",IF(E11&gt;D11,(E11-D11)*24,""))</f>
        <v/>
      </c>
      <c r="G11" s="9"/>
      <c r="H11" s="11" t="str">
        <f aca="false">IF(OR(A11="",B11="",D11="",E11=""),"",IF(E11&lt;=D11,"End before start",IF(COUNTIFS($B$9:$B$208,B11,$D$9:$D$208,"&lt;"&amp;(E11-1/1440),$E$9:$E$208,"&gt;"&amp;(D11+1/1440))&gt;1,"CONFLICT","OK")))</f>
        <v/>
      </c>
      <c r="K11" s="17" t="n">
        <v>0.333333333333333</v>
      </c>
      <c r="L11" s="18" t="str">
        <f aca="false">IF(COUNTIFS($B$9:$B$208,L$9,$D$9:$D$208,"&lt;"&amp;($K11+1/24-1/1440),$E$9:$E$208,"&gt;"&amp;($K11+1/1440))=0,"",IF(COUNTIFS($B$9:$B$208,L$9,$D$9:$D$208,"&lt;"&amp;($K11+1/24-1/1440),$E$9:$E$208,"&gt;"&amp;($K11+1/1440))&gt;1,"CONFLICT",INDEX($A$9:$A$208,SUMPRODUCT(MAX(($B$9:$B$208=L$9)*($D$9:$D$208&lt;$K11+1/24-1/1440)*($E$9:$E$208&gt;$K11+1/1440)*(ROW($B$9:$B$208)-8))))))</f>
        <v/>
      </c>
      <c r="M11" s="18" t="str">
        <f aca="false">IF(COUNTIFS($B$9:$B$208,M$9,$D$9:$D$208,"&lt;"&amp;($K11+1/24-1/1440),$E$9:$E$208,"&gt;"&amp;($K11+1/1440))=0,"",IF(COUNTIFS($B$9:$B$208,M$9,$D$9:$D$208,"&lt;"&amp;($K11+1/24-1/1440),$E$9:$E$208,"&gt;"&amp;($K11+1/1440))&gt;1,"CONFLICT",INDEX($A$9:$A$208,SUMPRODUCT(MAX(($B$9:$B$208=M$9)*($D$9:$D$208&lt;$K11+1/24-1/1440)*($E$9:$E$208&gt;$K11+1/1440)*(ROW($B$9:$B$208)-8))))))</f>
        <v/>
      </c>
      <c r="N11" s="18" t="str">
        <f aca="false">IF(COUNTIFS($B$9:$B$208,N$9,$D$9:$D$208,"&lt;"&amp;($K11+1/24-1/1440),$E$9:$E$208,"&gt;"&amp;($K11+1/1440))=0,"",IF(COUNTIFS($B$9:$B$208,N$9,$D$9:$D$208,"&lt;"&amp;($K11+1/24-1/1440),$E$9:$E$208,"&gt;"&amp;($K11+1/1440))&gt;1,"CONFLICT",INDEX($A$9:$A$208,SUMPRODUCT(MAX(($B$9:$B$208=N$9)*($D$9:$D$208&lt;$K11+1/24-1/1440)*($E$9:$E$208&gt;$K11+1/1440)*(ROW($B$9:$B$208)-8))))))</f>
        <v/>
      </c>
      <c r="O11" s="18" t="str">
        <f aca="false">IF(COUNTIFS($B$9:$B$208,O$9,$D$9:$D$208,"&lt;"&amp;($K11+1/24-1/1440),$E$9:$E$208,"&gt;"&amp;($K11+1/1440))=0,"",IF(COUNTIFS($B$9:$B$208,O$9,$D$9:$D$208,"&lt;"&amp;($K11+1/24-1/1440),$E$9:$E$208,"&gt;"&amp;($K11+1/1440))&gt;1,"CONFLICT",INDEX($A$9:$A$208,SUMPRODUCT(MAX(($B$9:$B$208=O$9)*($D$9:$D$208&lt;$K11+1/24-1/1440)*($E$9:$E$208&gt;$K11+1/1440)*(ROW($B$9:$B$208)-8))))))</f>
        <v/>
      </c>
      <c r="P11" s="18" t="str">
        <f aca="false">IF(COUNTIFS($B$9:$B$208,P$9,$D$9:$D$208,"&lt;"&amp;($K11+1/24-1/1440),$E$9:$E$208,"&gt;"&amp;($K11+1/1440))=0,"",IF(COUNTIFS($B$9:$B$208,P$9,$D$9:$D$208,"&lt;"&amp;($K11+1/24-1/1440),$E$9:$E$208,"&gt;"&amp;($K11+1/1440))&gt;1,"CONFLICT",INDEX($A$9:$A$208,SUMPRODUCT(MAX(($B$9:$B$208=P$9)*($D$9:$D$208&lt;$K11+1/24-1/1440)*($E$9:$E$208&gt;$K11+1/1440)*(ROW($B$9:$B$208)-8))))))</f>
        <v/>
      </c>
      <c r="Q11" s="18" t="str">
        <f aca="false">IF(COUNTIFS($B$9:$B$208,Q$9,$D$9:$D$208,"&lt;"&amp;($K11+1/24-1/1440),$E$9:$E$208,"&gt;"&amp;($K11+1/1440))=0,"",IF(COUNTIFS($B$9:$B$208,Q$9,$D$9:$D$208,"&lt;"&amp;($K11+1/24-1/1440),$E$9:$E$208,"&gt;"&amp;($K11+1/1440))&gt;1,"CONFLICT",INDEX($A$9:$A$208,SUMPRODUCT(MAX(($B$9:$B$208=Q$9)*($D$9:$D$208&lt;$K11+1/24-1/1440)*($E$9:$E$208&gt;$K11+1/1440)*(ROW($B$9:$B$208)-8))))))</f>
        <v/>
      </c>
      <c r="R11" s="18" t="str">
        <f aca="false">IF(COUNTIFS($B$9:$B$208,R$9,$D$9:$D$208,"&lt;"&amp;($K11+1/24-1/1440),$E$9:$E$208,"&gt;"&amp;($K11+1/1440))=0,"",IF(COUNTIFS($B$9:$B$208,R$9,$D$9:$D$208,"&lt;"&amp;($K11+1/24-1/1440),$E$9:$E$208,"&gt;"&amp;($K11+1/1440))&gt;1,"CONFLICT",INDEX($A$9:$A$208,SUMPRODUCT(MAX(($B$9:$B$208=R$9)*($D$9:$D$208&lt;$K11+1/24-1/1440)*($E$9:$E$208&gt;$K11+1/1440)*(ROW($B$9:$B$208)-8))))))</f>
        <v/>
      </c>
    </row>
    <row r="12" customFormat="false" ht="15" hidden="false" customHeight="false" outlineLevel="0" collapsed="false">
      <c r="A12" s="9"/>
      <c r="B12" s="10"/>
      <c r="C12" s="11" t="str">
        <f aca="false">IF(B12="","",CHOOSE(WEEKDAY(B12),"Sun","Mon","Tue","Wed","Thu","Fri","Sat"))</f>
        <v/>
      </c>
      <c r="D12" s="12"/>
      <c r="E12" s="12"/>
      <c r="F12" s="13" t="str">
        <f aca="false">IF(OR(D12="",E12=""),"",IF(E12&gt;D12,(E12-D12)*24,""))</f>
        <v/>
      </c>
      <c r="G12" s="9"/>
      <c r="H12" s="11" t="str">
        <f aca="false">IF(OR(A12="",B12="",D12="",E12=""),"",IF(E12&lt;=D12,"End before start",IF(COUNTIFS($B$9:$B$208,B12,$D$9:$D$208,"&lt;"&amp;(E12-1/1440),$E$9:$E$208,"&gt;"&amp;(D12+1/1440))&gt;1,"CONFLICT","OK")))</f>
        <v/>
      </c>
      <c r="K12" s="17" t="n">
        <v>0.375</v>
      </c>
      <c r="L12" s="18" t="str">
        <f aca="false">IF(COUNTIFS($B$9:$B$208,L$9,$D$9:$D$208,"&lt;"&amp;($K12+1/24-1/1440),$E$9:$E$208,"&gt;"&amp;($K12+1/1440))=0,"",IF(COUNTIFS($B$9:$B$208,L$9,$D$9:$D$208,"&lt;"&amp;($K12+1/24-1/1440),$E$9:$E$208,"&gt;"&amp;($K12+1/1440))&gt;1,"CONFLICT",INDEX($A$9:$A$208,SUMPRODUCT(MAX(($B$9:$B$208=L$9)*($D$9:$D$208&lt;$K12+1/24-1/1440)*($E$9:$E$208&gt;$K12+1/1440)*(ROW($B$9:$B$208)-8))))))</f>
        <v/>
      </c>
      <c r="M12" s="18" t="str">
        <f aca="false">IF(COUNTIFS($B$9:$B$208,M$9,$D$9:$D$208,"&lt;"&amp;($K12+1/24-1/1440),$E$9:$E$208,"&gt;"&amp;($K12+1/1440))=0,"",IF(COUNTIFS($B$9:$B$208,M$9,$D$9:$D$208,"&lt;"&amp;($K12+1/24-1/1440),$E$9:$E$208,"&gt;"&amp;($K12+1/1440))&gt;1,"CONFLICT",INDEX($A$9:$A$208,SUMPRODUCT(MAX(($B$9:$B$208=M$9)*($D$9:$D$208&lt;$K12+1/24-1/1440)*($E$9:$E$208&gt;$K12+1/1440)*(ROW($B$9:$B$208)-8))))))</f>
        <v/>
      </c>
      <c r="N12" s="18" t="str">
        <f aca="false">IF(COUNTIFS($B$9:$B$208,N$9,$D$9:$D$208,"&lt;"&amp;($K12+1/24-1/1440),$E$9:$E$208,"&gt;"&amp;($K12+1/1440))=0,"",IF(COUNTIFS($B$9:$B$208,N$9,$D$9:$D$208,"&lt;"&amp;($K12+1/24-1/1440),$E$9:$E$208,"&gt;"&amp;($K12+1/1440))&gt;1,"CONFLICT",INDEX($A$9:$A$208,SUMPRODUCT(MAX(($B$9:$B$208=N$9)*($D$9:$D$208&lt;$K12+1/24-1/1440)*($E$9:$E$208&gt;$K12+1/1440)*(ROW($B$9:$B$208)-8))))))</f>
        <v/>
      </c>
      <c r="O12" s="18" t="str">
        <f aca="false">IF(COUNTIFS($B$9:$B$208,O$9,$D$9:$D$208,"&lt;"&amp;($K12+1/24-1/1440),$E$9:$E$208,"&gt;"&amp;($K12+1/1440))=0,"",IF(COUNTIFS($B$9:$B$208,O$9,$D$9:$D$208,"&lt;"&amp;($K12+1/24-1/1440),$E$9:$E$208,"&gt;"&amp;($K12+1/1440))&gt;1,"CONFLICT",INDEX($A$9:$A$208,SUMPRODUCT(MAX(($B$9:$B$208=O$9)*($D$9:$D$208&lt;$K12+1/24-1/1440)*($E$9:$E$208&gt;$K12+1/1440)*(ROW($B$9:$B$208)-8))))))</f>
        <v/>
      </c>
      <c r="P12" s="18" t="str">
        <f aca="false">IF(COUNTIFS($B$9:$B$208,P$9,$D$9:$D$208,"&lt;"&amp;($K12+1/24-1/1440),$E$9:$E$208,"&gt;"&amp;($K12+1/1440))=0,"",IF(COUNTIFS($B$9:$B$208,P$9,$D$9:$D$208,"&lt;"&amp;($K12+1/24-1/1440),$E$9:$E$208,"&gt;"&amp;($K12+1/1440))&gt;1,"CONFLICT",INDEX($A$9:$A$208,SUMPRODUCT(MAX(($B$9:$B$208=P$9)*($D$9:$D$208&lt;$K12+1/24-1/1440)*($E$9:$E$208&gt;$K12+1/1440)*(ROW($B$9:$B$208)-8))))))</f>
        <v/>
      </c>
      <c r="Q12" s="18" t="str">
        <f aca="false">IF(COUNTIFS($B$9:$B$208,Q$9,$D$9:$D$208,"&lt;"&amp;($K12+1/24-1/1440),$E$9:$E$208,"&gt;"&amp;($K12+1/1440))=0,"",IF(COUNTIFS($B$9:$B$208,Q$9,$D$9:$D$208,"&lt;"&amp;($K12+1/24-1/1440),$E$9:$E$208,"&gt;"&amp;($K12+1/1440))&gt;1,"CONFLICT",INDEX($A$9:$A$208,SUMPRODUCT(MAX(($B$9:$B$208=Q$9)*($D$9:$D$208&lt;$K12+1/24-1/1440)*($E$9:$E$208&gt;$K12+1/1440)*(ROW($B$9:$B$208)-8))))))</f>
        <v/>
      </c>
      <c r="R12" s="18" t="str">
        <f aca="false">IF(COUNTIFS($B$9:$B$208,R$9,$D$9:$D$208,"&lt;"&amp;($K12+1/24-1/1440),$E$9:$E$208,"&gt;"&amp;($K12+1/1440))=0,"",IF(COUNTIFS($B$9:$B$208,R$9,$D$9:$D$208,"&lt;"&amp;($K12+1/24-1/1440),$E$9:$E$208,"&gt;"&amp;($K12+1/1440))&gt;1,"CONFLICT",INDEX($A$9:$A$208,SUMPRODUCT(MAX(($B$9:$B$208=R$9)*($D$9:$D$208&lt;$K12+1/24-1/1440)*($E$9:$E$208&gt;$K12+1/1440)*(ROW($B$9:$B$208)-8))))))</f>
        <v/>
      </c>
    </row>
    <row r="13" customFormat="false" ht="15" hidden="false" customHeight="false" outlineLevel="0" collapsed="false">
      <c r="A13" s="9"/>
      <c r="B13" s="10"/>
      <c r="C13" s="11" t="str">
        <f aca="false">IF(B13="","",CHOOSE(WEEKDAY(B13),"Sun","Mon","Tue","Wed","Thu","Fri","Sat"))</f>
        <v/>
      </c>
      <c r="D13" s="12"/>
      <c r="E13" s="12"/>
      <c r="F13" s="13" t="str">
        <f aca="false">IF(OR(D13="",E13=""),"",IF(E13&gt;D13,(E13-D13)*24,""))</f>
        <v/>
      </c>
      <c r="G13" s="9"/>
      <c r="H13" s="11" t="str">
        <f aca="false">IF(OR(A13="",B13="",D13="",E13=""),"",IF(E13&lt;=D13,"End before start",IF(COUNTIFS($B$9:$B$208,B13,$D$9:$D$208,"&lt;"&amp;(E13-1/1440),$E$9:$E$208,"&gt;"&amp;(D13+1/1440))&gt;1,"CONFLICT","OK")))</f>
        <v/>
      </c>
      <c r="K13" s="17" t="n">
        <v>0.416666666666667</v>
      </c>
      <c r="L13" s="18" t="str">
        <f aca="false">IF(COUNTIFS($B$9:$B$208,L$9,$D$9:$D$208,"&lt;"&amp;($K13+1/24-1/1440),$E$9:$E$208,"&gt;"&amp;($K13+1/1440))=0,"",IF(COUNTIFS($B$9:$B$208,L$9,$D$9:$D$208,"&lt;"&amp;($K13+1/24-1/1440),$E$9:$E$208,"&gt;"&amp;($K13+1/1440))&gt;1,"CONFLICT",INDEX($A$9:$A$208,SUMPRODUCT(MAX(($B$9:$B$208=L$9)*($D$9:$D$208&lt;$K13+1/24-1/1440)*($E$9:$E$208&gt;$K13+1/1440)*(ROW($B$9:$B$208)-8))))))</f>
        <v/>
      </c>
      <c r="M13" s="18" t="str">
        <f aca="false">IF(COUNTIFS($B$9:$B$208,M$9,$D$9:$D$208,"&lt;"&amp;($K13+1/24-1/1440),$E$9:$E$208,"&gt;"&amp;($K13+1/1440))=0,"",IF(COUNTIFS($B$9:$B$208,M$9,$D$9:$D$208,"&lt;"&amp;($K13+1/24-1/1440),$E$9:$E$208,"&gt;"&amp;($K13+1/1440))&gt;1,"CONFLICT",INDEX($A$9:$A$208,SUMPRODUCT(MAX(($B$9:$B$208=M$9)*($D$9:$D$208&lt;$K13+1/24-1/1440)*($E$9:$E$208&gt;$K13+1/1440)*(ROW($B$9:$B$208)-8))))))</f>
        <v/>
      </c>
      <c r="N13" s="18" t="str">
        <f aca="false">IF(COUNTIFS($B$9:$B$208,N$9,$D$9:$D$208,"&lt;"&amp;($K13+1/24-1/1440),$E$9:$E$208,"&gt;"&amp;($K13+1/1440))=0,"",IF(COUNTIFS($B$9:$B$208,N$9,$D$9:$D$208,"&lt;"&amp;($K13+1/24-1/1440),$E$9:$E$208,"&gt;"&amp;($K13+1/1440))&gt;1,"CONFLICT",INDEX($A$9:$A$208,SUMPRODUCT(MAX(($B$9:$B$208=N$9)*($D$9:$D$208&lt;$K13+1/24-1/1440)*($E$9:$E$208&gt;$K13+1/1440)*(ROW($B$9:$B$208)-8))))))</f>
        <v/>
      </c>
      <c r="O13" s="18" t="str">
        <f aca="false">IF(COUNTIFS($B$9:$B$208,O$9,$D$9:$D$208,"&lt;"&amp;($K13+1/24-1/1440),$E$9:$E$208,"&gt;"&amp;($K13+1/1440))=0,"",IF(COUNTIFS($B$9:$B$208,O$9,$D$9:$D$208,"&lt;"&amp;($K13+1/24-1/1440),$E$9:$E$208,"&gt;"&amp;($K13+1/1440))&gt;1,"CONFLICT",INDEX($A$9:$A$208,SUMPRODUCT(MAX(($B$9:$B$208=O$9)*($D$9:$D$208&lt;$K13+1/24-1/1440)*($E$9:$E$208&gt;$K13+1/1440)*(ROW($B$9:$B$208)-8))))))</f>
        <v/>
      </c>
      <c r="P13" s="18" t="str">
        <f aca="false">IF(COUNTIFS($B$9:$B$208,P$9,$D$9:$D$208,"&lt;"&amp;($K13+1/24-1/1440),$E$9:$E$208,"&gt;"&amp;($K13+1/1440))=0,"",IF(COUNTIFS($B$9:$B$208,P$9,$D$9:$D$208,"&lt;"&amp;($K13+1/24-1/1440),$E$9:$E$208,"&gt;"&amp;($K13+1/1440))&gt;1,"CONFLICT",INDEX($A$9:$A$208,SUMPRODUCT(MAX(($B$9:$B$208=P$9)*($D$9:$D$208&lt;$K13+1/24-1/1440)*($E$9:$E$208&gt;$K13+1/1440)*(ROW($B$9:$B$208)-8))))))</f>
        <v/>
      </c>
      <c r="Q13" s="18" t="str">
        <f aca="false">IF(COUNTIFS($B$9:$B$208,Q$9,$D$9:$D$208,"&lt;"&amp;($K13+1/24-1/1440),$E$9:$E$208,"&gt;"&amp;($K13+1/1440))=0,"",IF(COUNTIFS($B$9:$B$208,Q$9,$D$9:$D$208,"&lt;"&amp;($K13+1/24-1/1440),$E$9:$E$208,"&gt;"&amp;($K13+1/1440))&gt;1,"CONFLICT",INDEX($A$9:$A$208,SUMPRODUCT(MAX(($B$9:$B$208=Q$9)*($D$9:$D$208&lt;$K13+1/24-1/1440)*($E$9:$E$208&gt;$K13+1/1440)*(ROW($B$9:$B$208)-8))))))</f>
        <v/>
      </c>
      <c r="R13" s="18" t="str">
        <f aca="false">IF(COUNTIFS($B$9:$B$208,R$9,$D$9:$D$208,"&lt;"&amp;($K13+1/24-1/1440),$E$9:$E$208,"&gt;"&amp;($K13+1/1440))=0,"",IF(COUNTIFS($B$9:$B$208,R$9,$D$9:$D$208,"&lt;"&amp;($K13+1/24-1/1440),$E$9:$E$208,"&gt;"&amp;($K13+1/1440))&gt;1,"CONFLICT",INDEX($A$9:$A$208,SUMPRODUCT(MAX(($B$9:$B$208=R$9)*($D$9:$D$208&lt;$K13+1/24-1/1440)*($E$9:$E$208&gt;$K13+1/1440)*(ROW($B$9:$B$208)-8))))))</f>
        <v/>
      </c>
    </row>
    <row r="14" customFormat="false" ht="15" hidden="false" customHeight="false" outlineLevel="0" collapsed="false">
      <c r="A14" s="9"/>
      <c r="B14" s="10"/>
      <c r="C14" s="11" t="str">
        <f aca="false">IF(B14="","",CHOOSE(WEEKDAY(B14),"Sun","Mon","Tue","Wed","Thu","Fri","Sat"))</f>
        <v/>
      </c>
      <c r="D14" s="12"/>
      <c r="E14" s="12"/>
      <c r="F14" s="13" t="str">
        <f aca="false">IF(OR(D14="",E14=""),"",IF(E14&gt;D14,(E14-D14)*24,""))</f>
        <v/>
      </c>
      <c r="G14" s="9"/>
      <c r="H14" s="11" t="str">
        <f aca="false">IF(OR(A14="",B14="",D14="",E14=""),"",IF(E14&lt;=D14,"End before start",IF(COUNTIFS($B$9:$B$208,B14,$D$9:$D$208,"&lt;"&amp;(E14-1/1440),$E$9:$E$208,"&gt;"&amp;(D14+1/1440))&gt;1,"CONFLICT","OK")))</f>
        <v/>
      </c>
      <c r="K14" s="17" t="n">
        <v>0.458333333333333</v>
      </c>
      <c r="L14" s="18" t="str">
        <f aca="false">IF(COUNTIFS($B$9:$B$208,L$9,$D$9:$D$208,"&lt;"&amp;($K14+1/24-1/1440),$E$9:$E$208,"&gt;"&amp;($K14+1/1440))=0,"",IF(COUNTIFS($B$9:$B$208,L$9,$D$9:$D$208,"&lt;"&amp;($K14+1/24-1/1440),$E$9:$E$208,"&gt;"&amp;($K14+1/1440))&gt;1,"CONFLICT",INDEX($A$9:$A$208,SUMPRODUCT(MAX(($B$9:$B$208=L$9)*($D$9:$D$208&lt;$K14+1/24-1/1440)*($E$9:$E$208&gt;$K14+1/1440)*(ROW($B$9:$B$208)-8))))))</f>
        <v/>
      </c>
      <c r="M14" s="18" t="str">
        <f aca="false">IF(COUNTIFS($B$9:$B$208,M$9,$D$9:$D$208,"&lt;"&amp;($K14+1/24-1/1440),$E$9:$E$208,"&gt;"&amp;($K14+1/1440))=0,"",IF(COUNTIFS($B$9:$B$208,M$9,$D$9:$D$208,"&lt;"&amp;($K14+1/24-1/1440),$E$9:$E$208,"&gt;"&amp;($K14+1/1440))&gt;1,"CONFLICT",INDEX($A$9:$A$208,SUMPRODUCT(MAX(($B$9:$B$208=M$9)*($D$9:$D$208&lt;$K14+1/24-1/1440)*($E$9:$E$208&gt;$K14+1/1440)*(ROW($B$9:$B$208)-8))))))</f>
        <v/>
      </c>
      <c r="N14" s="18" t="str">
        <f aca="false">IF(COUNTIFS($B$9:$B$208,N$9,$D$9:$D$208,"&lt;"&amp;($K14+1/24-1/1440),$E$9:$E$208,"&gt;"&amp;($K14+1/1440))=0,"",IF(COUNTIFS($B$9:$B$208,N$9,$D$9:$D$208,"&lt;"&amp;($K14+1/24-1/1440),$E$9:$E$208,"&gt;"&amp;($K14+1/1440))&gt;1,"CONFLICT",INDEX($A$9:$A$208,SUMPRODUCT(MAX(($B$9:$B$208=N$9)*($D$9:$D$208&lt;$K14+1/24-1/1440)*($E$9:$E$208&gt;$K14+1/1440)*(ROW($B$9:$B$208)-8))))))</f>
        <v/>
      </c>
      <c r="O14" s="18" t="str">
        <f aca="false">IF(COUNTIFS($B$9:$B$208,O$9,$D$9:$D$208,"&lt;"&amp;($K14+1/24-1/1440),$E$9:$E$208,"&gt;"&amp;($K14+1/1440))=0,"",IF(COUNTIFS($B$9:$B$208,O$9,$D$9:$D$208,"&lt;"&amp;($K14+1/24-1/1440),$E$9:$E$208,"&gt;"&amp;($K14+1/1440))&gt;1,"CONFLICT",INDEX($A$9:$A$208,SUMPRODUCT(MAX(($B$9:$B$208=O$9)*($D$9:$D$208&lt;$K14+1/24-1/1440)*($E$9:$E$208&gt;$K14+1/1440)*(ROW($B$9:$B$208)-8))))))</f>
        <v/>
      </c>
      <c r="P14" s="18" t="str">
        <f aca="false">IF(COUNTIFS($B$9:$B$208,P$9,$D$9:$D$208,"&lt;"&amp;($K14+1/24-1/1440),$E$9:$E$208,"&gt;"&amp;($K14+1/1440))=0,"",IF(COUNTIFS($B$9:$B$208,P$9,$D$9:$D$208,"&lt;"&amp;($K14+1/24-1/1440),$E$9:$E$208,"&gt;"&amp;($K14+1/1440))&gt;1,"CONFLICT",INDEX($A$9:$A$208,SUMPRODUCT(MAX(($B$9:$B$208=P$9)*($D$9:$D$208&lt;$K14+1/24-1/1440)*($E$9:$E$208&gt;$K14+1/1440)*(ROW($B$9:$B$208)-8))))))</f>
        <v/>
      </c>
      <c r="Q14" s="18" t="str">
        <f aca="false">IF(COUNTIFS($B$9:$B$208,Q$9,$D$9:$D$208,"&lt;"&amp;($K14+1/24-1/1440),$E$9:$E$208,"&gt;"&amp;($K14+1/1440))=0,"",IF(COUNTIFS($B$9:$B$208,Q$9,$D$9:$D$208,"&lt;"&amp;($K14+1/24-1/1440),$E$9:$E$208,"&gt;"&amp;($K14+1/1440))&gt;1,"CONFLICT",INDEX($A$9:$A$208,SUMPRODUCT(MAX(($B$9:$B$208=Q$9)*($D$9:$D$208&lt;$K14+1/24-1/1440)*($E$9:$E$208&gt;$K14+1/1440)*(ROW($B$9:$B$208)-8))))))</f>
        <v/>
      </c>
      <c r="R14" s="18" t="str">
        <f aca="false">IF(COUNTIFS($B$9:$B$208,R$9,$D$9:$D$208,"&lt;"&amp;($K14+1/24-1/1440),$E$9:$E$208,"&gt;"&amp;($K14+1/1440))=0,"",IF(COUNTIFS($B$9:$B$208,R$9,$D$9:$D$208,"&lt;"&amp;($K14+1/24-1/1440),$E$9:$E$208,"&gt;"&amp;($K14+1/1440))&gt;1,"CONFLICT",INDEX($A$9:$A$208,SUMPRODUCT(MAX(($B$9:$B$208=R$9)*($D$9:$D$208&lt;$K14+1/24-1/1440)*($E$9:$E$208&gt;$K14+1/1440)*(ROW($B$9:$B$208)-8))))))</f>
        <v/>
      </c>
    </row>
    <row r="15" customFormat="false" ht="15" hidden="false" customHeight="false" outlineLevel="0" collapsed="false">
      <c r="A15" s="9"/>
      <c r="B15" s="10"/>
      <c r="C15" s="11" t="str">
        <f aca="false">IF(B15="","",CHOOSE(WEEKDAY(B15),"Sun","Mon","Tue","Wed","Thu","Fri","Sat"))</f>
        <v/>
      </c>
      <c r="D15" s="12"/>
      <c r="E15" s="12"/>
      <c r="F15" s="13" t="str">
        <f aca="false">IF(OR(D15="",E15=""),"",IF(E15&gt;D15,(E15-D15)*24,""))</f>
        <v/>
      </c>
      <c r="G15" s="9"/>
      <c r="H15" s="11" t="str">
        <f aca="false">IF(OR(A15="",B15="",D15="",E15=""),"",IF(E15&lt;=D15,"End before start",IF(COUNTIFS($B$9:$B$208,B15,$D$9:$D$208,"&lt;"&amp;(E15-1/1440),$E$9:$E$208,"&gt;"&amp;(D15+1/1440))&gt;1,"CONFLICT","OK")))</f>
        <v/>
      </c>
      <c r="K15" s="17" t="n">
        <v>0.5</v>
      </c>
      <c r="L15" s="18" t="str">
        <f aca="false">IF(COUNTIFS($B$9:$B$208,L$9,$D$9:$D$208,"&lt;"&amp;($K15+1/24-1/1440),$E$9:$E$208,"&gt;"&amp;($K15+1/1440))=0,"",IF(COUNTIFS($B$9:$B$208,L$9,$D$9:$D$208,"&lt;"&amp;($K15+1/24-1/1440),$E$9:$E$208,"&gt;"&amp;($K15+1/1440))&gt;1,"CONFLICT",INDEX($A$9:$A$208,SUMPRODUCT(MAX(($B$9:$B$208=L$9)*($D$9:$D$208&lt;$K15+1/24-1/1440)*($E$9:$E$208&gt;$K15+1/1440)*(ROW($B$9:$B$208)-8))))))</f>
        <v/>
      </c>
      <c r="M15" s="18" t="str">
        <f aca="false">IF(COUNTIFS($B$9:$B$208,M$9,$D$9:$D$208,"&lt;"&amp;($K15+1/24-1/1440),$E$9:$E$208,"&gt;"&amp;($K15+1/1440))=0,"",IF(COUNTIFS($B$9:$B$208,M$9,$D$9:$D$208,"&lt;"&amp;($K15+1/24-1/1440),$E$9:$E$208,"&gt;"&amp;($K15+1/1440))&gt;1,"CONFLICT",INDEX($A$9:$A$208,SUMPRODUCT(MAX(($B$9:$B$208=M$9)*($D$9:$D$208&lt;$K15+1/24-1/1440)*($E$9:$E$208&gt;$K15+1/1440)*(ROW($B$9:$B$208)-8))))))</f>
        <v/>
      </c>
      <c r="N15" s="18" t="str">
        <f aca="false">IF(COUNTIFS($B$9:$B$208,N$9,$D$9:$D$208,"&lt;"&amp;($K15+1/24-1/1440),$E$9:$E$208,"&gt;"&amp;($K15+1/1440))=0,"",IF(COUNTIFS($B$9:$B$208,N$9,$D$9:$D$208,"&lt;"&amp;($K15+1/24-1/1440),$E$9:$E$208,"&gt;"&amp;($K15+1/1440))&gt;1,"CONFLICT",INDEX($A$9:$A$208,SUMPRODUCT(MAX(($B$9:$B$208=N$9)*($D$9:$D$208&lt;$K15+1/24-1/1440)*($E$9:$E$208&gt;$K15+1/1440)*(ROW($B$9:$B$208)-8))))))</f>
        <v/>
      </c>
      <c r="O15" s="18" t="str">
        <f aca="false">IF(COUNTIFS($B$9:$B$208,O$9,$D$9:$D$208,"&lt;"&amp;($K15+1/24-1/1440),$E$9:$E$208,"&gt;"&amp;($K15+1/1440))=0,"",IF(COUNTIFS($B$9:$B$208,O$9,$D$9:$D$208,"&lt;"&amp;($K15+1/24-1/1440),$E$9:$E$208,"&gt;"&amp;($K15+1/1440))&gt;1,"CONFLICT",INDEX($A$9:$A$208,SUMPRODUCT(MAX(($B$9:$B$208=O$9)*($D$9:$D$208&lt;$K15+1/24-1/1440)*($E$9:$E$208&gt;$K15+1/1440)*(ROW($B$9:$B$208)-8))))))</f>
        <v/>
      </c>
      <c r="P15" s="18" t="str">
        <f aca="false">IF(COUNTIFS($B$9:$B$208,P$9,$D$9:$D$208,"&lt;"&amp;($K15+1/24-1/1440),$E$9:$E$208,"&gt;"&amp;($K15+1/1440))=0,"",IF(COUNTIFS($B$9:$B$208,P$9,$D$9:$D$208,"&lt;"&amp;($K15+1/24-1/1440),$E$9:$E$208,"&gt;"&amp;($K15+1/1440))&gt;1,"CONFLICT",INDEX($A$9:$A$208,SUMPRODUCT(MAX(($B$9:$B$208=P$9)*($D$9:$D$208&lt;$K15+1/24-1/1440)*($E$9:$E$208&gt;$K15+1/1440)*(ROW($B$9:$B$208)-8))))))</f>
        <v/>
      </c>
      <c r="Q15" s="18" t="str">
        <f aca="false">IF(COUNTIFS($B$9:$B$208,Q$9,$D$9:$D$208,"&lt;"&amp;($K15+1/24-1/1440),$E$9:$E$208,"&gt;"&amp;($K15+1/1440))=0,"",IF(COUNTIFS($B$9:$B$208,Q$9,$D$9:$D$208,"&lt;"&amp;($K15+1/24-1/1440),$E$9:$E$208,"&gt;"&amp;($K15+1/1440))&gt;1,"CONFLICT",INDEX($A$9:$A$208,SUMPRODUCT(MAX(($B$9:$B$208=Q$9)*($D$9:$D$208&lt;$K15+1/24-1/1440)*($E$9:$E$208&gt;$K15+1/1440)*(ROW($B$9:$B$208)-8))))))</f>
        <v/>
      </c>
      <c r="R15" s="18" t="str">
        <f aca="false">IF(COUNTIFS($B$9:$B$208,R$9,$D$9:$D$208,"&lt;"&amp;($K15+1/24-1/1440),$E$9:$E$208,"&gt;"&amp;($K15+1/1440))=0,"",IF(COUNTIFS($B$9:$B$208,R$9,$D$9:$D$208,"&lt;"&amp;($K15+1/24-1/1440),$E$9:$E$208,"&gt;"&amp;($K15+1/1440))&gt;1,"CONFLICT",INDEX($A$9:$A$208,SUMPRODUCT(MAX(($B$9:$B$208=R$9)*($D$9:$D$208&lt;$K15+1/24-1/1440)*($E$9:$E$208&gt;$K15+1/1440)*(ROW($B$9:$B$208)-8))))))</f>
        <v/>
      </c>
    </row>
    <row r="16" customFormat="false" ht="15" hidden="false" customHeight="false" outlineLevel="0" collapsed="false">
      <c r="A16" s="9"/>
      <c r="B16" s="10"/>
      <c r="C16" s="11" t="str">
        <f aca="false">IF(B16="","",CHOOSE(WEEKDAY(B16),"Sun","Mon","Tue","Wed","Thu","Fri","Sat"))</f>
        <v/>
      </c>
      <c r="D16" s="12"/>
      <c r="E16" s="12"/>
      <c r="F16" s="13" t="str">
        <f aca="false">IF(OR(D16="",E16=""),"",IF(E16&gt;D16,(E16-D16)*24,""))</f>
        <v/>
      </c>
      <c r="G16" s="9"/>
      <c r="H16" s="11" t="str">
        <f aca="false">IF(OR(A16="",B16="",D16="",E16=""),"",IF(E16&lt;=D16,"End before start",IF(COUNTIFS($B$9:$B$208,B16,$D$9:$D$208,"&lt;"&amp;(E16-1/1440),$E$9:$E$208,"&gt;"&amp;(D16+1/1440))&gt;1,"CONFLICT","OK")))</f>
        <v/>
      </c>
      <c r="K16" s="17" t="n">
        <v>0.541666666666667</v>
      </c>
      <c r="L16" s="18" t="str">
        <f aca="false">IF(COUNTIFS($B$9:$B$208,L$9,$D$9:$D$208,"&lt;"&amp;($K16+1/24-1/1440),$E$9:$E$208,"&gt;"&amp;($K16+1/1440))=0,"",IF(COUNTIFS($B$9:$B$208,L$9,$D$9:$D$208,"&lt;"&amp;($K16+1/24-1/1440),$E$9:$E$208,"&gt;"&amp;($K16+1/1440))&gt;1,"CONFLICT",INDEX($A$9:$A$208,SUMPRODUCT(MAX(($B$9:$B$208=L$9)*($D$9:$D$208&lt;$K16+1/24-1/1440)*($E$9:$E$208&gt;$K16+1/1440)*(ROW($B$9:$B$208)-8))))))</f>
        <v/>
      </c>
      <c r="M16" s="18" t="str">
        <f aca="false">IF(COUNTIFS($B$9:$B$208,M$9,$D$9:$D$208,"&lt;"&amp;($K16+1/24-1/1440),$E$9:$E$208,"&gt;"&amp;($K16+1/1440))=0,"",IF(COUNTIFS($B$9:$B$208,M$9,$D$9:$D$208,"&lt;"&amp;($K16+1/24-1/1440),$E$9:$E$208,"&gt;"&amp;($K16+1/1440))&gt;1,"CONFLICT",INDEX($A$9:$A$208,SUMPRODUCT(MAX(($B$9:$B$208=M$9)*($D$9:$D$208&lt;$K16+1/24-1/1440)*($E$9:$E$208&gt;$K16+1/1440)*(ROW($B$9:$B$208)-8))))))</f>
        <v/>
      </c>
      <c r="N16" s="18" t="str">
        <f aca="false">IF(COUNTIFS($B$9:$B$208,N$9,$D$9:$D$208,"&lt;"&amp;($K16+1/24-1/1440),$E$9:$E$208,"&gt;"&amp;($K16+1/1440))=0,"",IF(COUNTIFS($B$9:$B$208,N$9,$D$9:$D$208,"&lt;"&amp;($K16+1/24-1/1440),$E$9:$E$208,"&gt;"&amp;($K16+1/1440))&gt;1,"CONFLICT",INDEX($A$9:$A$208,SUMPRODUCT(MAX(($B$9:$B$208=N$9)*($D$9:$D$208&lt;$K16+1/24-1/1440)*($E$9:$E$208&gt;$K16+1/1440)*(ROW($B$9:$B$208)-8))))))</f>
        <v/>
      </c>
      <c r="O16" s="18" t="str">
        <f aca="false">IF(COUNTIFS($B$9:$B$208,O$9,$D$9:$D$208,"&lt;"&amp;($K16+1/24-1/1440),$E$9:$E$208,"&gt;"&amp;($K16+1/1440))=0,"",IF(COUNTIFS($B$9:$B$208,O$9,$D$9:$D$208,"&lt;"&amp;($K16+1/24-1/1440),$E$9:$E$208,"&gt;"&amp;($K16+1/1440))&gt;1,"CONFLICT",INDEX($A$9:$A$208,SUMPRODUCT(MAX(($B$9:$B$208=O$9)*($D$9:$D$208&lt;$K16+1/24-1/1440)*($E$9:$E$208&gt;$K16+1/1440)*(ROW($B$9:$B$208)-8))))))</f>
        <v/>
      </c>
      <c r="P16" s="18" t="str">
        <f aca="false">IF(COUNTIFS($B$9:$B$208,P$9,$D$9:$D$208,"&lt;"&amp;($K16+1/24-1/1440),$E$9:$E$208,"&gt;"&amp;($K16+1/1440))=0,"",IF(COUNTIFS($B$9:$B$208,P$9,$D$9:$D$208,"&lt;"&amp;($K16+1/24-1/1440),$E$9:$E$208,"&gt;"&amp;($K16+1/1440))&gt;1,"CONFLICT",INDEX($A$9:$A$208,SUMPRODUCT(MAX(($B$9:$B$208=P$9)*($D$9:$D$208&lt;$K16+1/24-1/1440)*($E$9:$E$208&gt;$K16+1/1440)*(ROW($B$9:$B$208)-8))))))</f>
        <v/>
      </c>
      <c r="Q16" s="18" t="str">
        <f aca="false">IF(COUNTIFS($B$9:$B$208,Q$9,$D$9:$D$208,"&lt;"&amp;($K16+1/24-1/1440),$E$9:$E$208,"&gt;"&amp;($K16+1/1440))=0,"",IF(COUNTIFS($B$9:$B$208,Q$9,$D$9:$D$208,"&lt;"&amp;($K16+1/24-1/1440),$E$9:$E$208,"&gt;"&amp;($K16+1/1440))&gt;1,"CONFLICT",INDEX($A$9:$A$208,SUMPRODUCT(MAX(($B$9:$B$208=Q$9)*($D$9:$D$208&lt;$K16+1/24-1/1440)*($E$9:$E$208&gt;$K16+1/1440)*(ROW($B$9:$B$208)-8))))))</f>
        <v/>
      </c>
      <c r="R16" s="18" t="str">
        <f aca="false">IF(COUNTIFS($B$9:$B$208,R$9,$D$9:$D$208,"&lt;"&amp;($K16+1/24-1/1440),$E$9:$E$208,"&gt;"&amp;($K16+1/1440))=0,"",IF(COUNTIFS($B$9:$B$208,R$9,$D$9:$D$208,"&lt;"&amp;($K16+1/24-1/1440),$E$9:$E$208,"&gt;"&amp;($K16+1/1440))&gt;1,"CONFLICT",INDEX($A$9:$A$208,SUMPRODUCT(MAX(($B$9:$B$208=R$9)*($D$9:$D$208&lt;$K16+1/24-1/1440)*($E$9:$E$208&gt;$K16+1/1440)*(ROW($B$9:$B$208)-8))))))</f>
        <v/>
      </c>
    </row>
    <row r="17" customFormat="false" ht="15" hidden="false" customHeight="false" outlineLevel="0" collapsed="false">
      <c r="A17" s="9"/>
      <c r="B17" s="10"/>
      <c r="C17" s="11" t="str">
        <f aca="false">IF(B17="","",CHOOSE(WEEKDAY(B17),"Sun","Mon","Tue","Wed","Thu","Fri","Sat"))</f>
        <v/>
      </c>
      <c r="D17" s="12"/>
      <c r="E17" s="12"/>
      <c r="F17" s="13" t="str">
        <f aca="false">IF(OR(D17="",E17=""),"",IF(E17&gt;D17,(E17-D17)*24,""))</f>
        <v/>
      </c>
      <c r="G17" s="9"/>
      <c r="H17" s="11" t="str">
        <f aca="false">IF(OR(A17="",B17="",D17="",E17=""),"",IF(E17&lt;=D17,"End before start",IF(COUNTIFS($B$9:$B$208,B17,$D$9:$D$208,"&lt;"&amp;(E17-1/1440),$E$9:$E$208,"&gt;"&amp;(D17+1/1440))&gt;1,"CONFLICT","OK")))</f>
        <v/>
      </c>
      <c r="K17" s="17" t="n">
        <v>0.583333333333333</v>
      </c>
      <c r="L17" s="18" t="str">
        <f aca="false">IF(COUNTIFS($B$9:$B$208,L$9,$D$9:$D$208,"&lt;"&amp;($K17+1/24-1/1440),$E$9:$E$208,"&gt;"&amp;($K17+1/1440))=0,"",IF(COUNTIFS($B$9:$B$208,L$9,$D$9:$D$208,"&lt;"&amp;($K17+1/24-1/1440),$E$9:$E$208,"&gt;"&amp;($K17+1/1440))&gt;1,"CONFLICT",INDEX($A$9:$A$208,SUMPRODUCT(MAX(($B$9:$B$208=L$9)*($D$9:$D$208&lt;$K17+1/24-1/1440)*($E$9:$E$208&gt;$K17+1/1440)*(ROW($B$9:$B$208)-8))))))</f>
        <v/>
      </c>
      <c r="M17" s="18" t="str">
        <f aca="false">IF(COUNTIFS($B$9:$B$208,M$9,$D$9:$D$208,"&lt;"&amp;($K17+1/24-1/1440),$E$9:$E$208,"&gt;"&amp;($K17+1/1440))=0,"",IF(COUNTIFS($B$9:$B$208,M$9,$D$9:$D$208,"&lt;"&amp;($K17+1/24-1/1440),$E$9:$E$208,"&gt;"&amp;($K17+1/1440))&gt;1,"CONFLICT",INDEX($A$9:$A$208,SUMPRODUCT(MAX(($B$9:$B$208=M$9)*($D$9:$D$208&lt;$K17+1/24-1/1440)*($E$9:$E$208&gt;$K17+1/1440)*(ROW($B$9:$B$208)-8))))))</f>
        <v/>
      </c>
      <c r="N17" s="18" t="str">
        <f aca="false">IF(COUNTIFS($B$9:$B$208,N$9,$D$9:$D$208,"&lt;"&amp;($K17+1/24-1/1440),$E$9:$E$208,"&gt;"&amp;($K17+1/1440))=0,"",IF(COUNTIFS($B$9:$B$208,N$9,$D$9:$D$208,"&lt;"&amp;($K17+1/24-1/1440),$E$9:$E$208,"&gt;"&amp;($K17+1/1440))&gt;1,"CONFLICT",INDEX($A$9:$A$208,SUMPRODUCT(MAX(($B$9:$B$208=N$9)*($D$9:$D$208&lt;$K17+1/24-1/1440)*($E$9:$E$208&gt;$K17+1/1440)*(ROW($B$9:$B$208)-8))))))</f>
        <v/>
      </c>
      <c r="O17" s="18" t="str">
        <f aca="false">IF(COUNTIFS($B$9:$B$208,O$9,$D$9:$D$208,"&lt;"&amp;($K17+1/24-1/1440),$E$9:$E$208,"&gt;"&amp;($K17+1/1440))=0,"",IF(COUNTIFS($B$9:$B$208,O$9,$D$9:$D$208,"&lt;"&amp;($K17+1/24-1/1440),$E$9:$E$208,"&gt;"&amp;($K17+1/1440))&gt;1,"CONFLICT",INDEX($A$9:$A$208,SUMPRODUCT(MAX(($B$9:$B$208=O$9)*($D$9:$D$208&lt;$K17+1/24-1/1440)*($E$9:$E$208&gt;$K17+1/1440)*(ROW($B$9:$B$208)-8))))))</f>
        <v/>
      </c>
      <c r="P17" s="18" t="str">
        <f aca="false">IF(COUNTIFS($B$9:$B$208,P$9,$D$9:$D$208,"&lt;"&amp;($K17+1/24-1/1440),$E$9:$E$208,"&gt;"&amp;($K17+1/1440))=0,"",IF(COUNTIFS($B$9:$B$208,P$9,$D$9:$D$208,"&lt;"&amp;($K17+1/24-1/1440),$E$9:$E$208,"&gt;"&amp;($K17+1/1440))&gt;1,"CONFLICT",INDEX($A$9:$A$208,SUMPRODUCT(MAX(($B$9:$B$208=P$9)*($D$9:$D$208&lt;$K17+1/24-1/1440)*($E$9:$E$208&gt;$K17+1/1440)*(ROW($B$9:$B$208)-8))))))</f>
        <v/>
      </c>
      <c r="Q17" s="18" t="str">
        <f aca="false">IF(COUNTIFS($B$9:$B$208,Q$9,$D$9:$D$208,"&lt;"&amp;($K17+1/24-1/1440),$E$9:$E$208,"&gt;"&amp;($K17+1/1440))=0,"",IF(COUNTIFS($B$9:$B$208,Q$9,$D$9:$D$208,"&lt;"&amp;($K17+1/24-1/1440),$E$9:$E$208,"&gt;"&amp;($K17+1/1440))&gt;1,"CONFLICT",INDEX($A$9:$A$208,SUMPRODUCT(MAX(($B$9:$B$208=Q$9)*($D$9:$D$208&lt;$K17+1/24-1/1440)*($E$9:$E$208&gt;$K17+1/1440)*(ROW($B$9:$B$208)-8))))))</f>
        <v/>
      </c>
      <c r="R17" s="18" t="str">
        <f aca="false">IF(COUNTIFS($B$9:$B$208,R$9,$D$9:$D$208,"&lt;"&amp;($K17+1/24-1/1440),$E$9:$E$208,"&gt;"&amp;($K17+1/1440))=0,"",IF(COUNTIFS($B$9:$B$208,R$9,$D$9:$D$208,"&lt;"&amp;($K17+1/24-1/1440),$E$9:$E$208,"&gt;"&amp;($K17+1/1440))&gt;1,"CONFLICT",INDEX($A$9:$A$208,SUMPRODUCT(MAX(($B$9:$B$208=R$9)*($D$9:$D$208&lt;$K17+1/24-1/1440)*($E$9:$E$208&gt;$K17+1/1440)*(ROW($B$9:$B$208)-8))))))</f>
        <v/>
      </c>
    </row>
    <row r="18" customFormat="false" ht="15" hidden="false" customHeight="false" outlineLevel="0" collapsed="false">
      <c r="A18" s="9"/>
      <c r="B18" s="10"/>
      <c r="C18" s="11" t="str">
        <f aca="false">IF(B18="","",CHOOSE(WEEKDAY(B18),"Sun","Mon","Tue","Wed","Thu","Fri","Sat"))</f>
        <v/>
      </c>
      <c r="D18" s="12"/>
      <c r="E18" s="12"/>
      <c r="F18" s="13" t="str">
        <f aca="false">IF(OR(D18="",E18=""),"",IF(E18&gt;D18,(E18-D18)*24,""))</f>
        <v/>
      </c>
      <c r="G18" s="9"/>
      <c r="H18" s="11" t="str">
        <f aca="false">IF(OR(A18="",B18="",D18="",E18=""),"",IF(E18&lt;=D18,"End before start",IF(COUNTIFS($B$9:$B$208,B18,$D$9:$D$208,"&lt;"&amp;(E18-1/1440),$E$9:$E$208,"&gt;"&amp;(D18+1/1440))&gt;1,"CONFLICT","OK")))</f>
        <v/>
      </c>
      <c r="K18" s="17" t="n">
        <v>0.625</v>
      </c>
      <c r="L18" s="18" t="str">
        <f aca="false">IF(COUNTIFS($B$9:$B$208,L$9,$D$9:$D$208,"&lt;"&amp;($K18+1/24-1/1440),$E$9:$E$208,"&gt;"&amp;($K18+1/1440))=0,"",IF(COUNTIFS($B$9:$B$208,L$9,$D$9:$D$208,"&lt;"&amp;($K18+1/24-1/1440),$E$9:$E$208,"&gt;"&amp;($K18+1/1440))&gt;1,"CONFLICT",INDEX($A$9:$A$208,SUMPRODUCT(MAX(($B$9:$B$208=L$9)*($D$9:$D$208&lt;$K18+1/24-1/1440)*($E$9:$E$208&gt;$K18+1/1440)*(ROW($B$9:$B$208)-8))))))</f>
        <v/>
      </c>
      <c r="M18" s="18" t="str">
        <f aca="false">IF(COUNTIFS($B$9:$B$208,M$9,$D$9:$D$208,"&lt;"&amp;($K18+1/24-1/1440),$E$9:$E$208,"&gt;"&amp;($K18+1/1440))=0,"",IF(COUNTIFS($B$9:$B$208,M$9,$D$9:$D$208,"&lt;"&amp;($K18+1/24-1/1440),$E$9:$E$208,"&gt;"&amp;($K18+1/1440))&gt;1,"CONFLICT",INDEX($A$9:$A$208,SUMPRODUCT(MAX(($B$9:$B$208=M$9)*($D$9:$D$208&lt;$K18+1/24-1/1440)*($E$9:$E$208&gt;$K18+1/1440)*(ROW($B$9:$B$208)-8))))))</f>
        <v/>
      </c>
      <c r="N18" s="18" t="str">
        <f aca="false">IF(COUNTIFS($B$9:$B$208,N$9,$D$9:$D$208,"&lt;"&amp;($K18+1/24-1/1440),$E$9:$E$208,"&gt;"&amp;($K18+1/1440))=0,"",IF(COUNTIFS($B$9:$B$208,N$9,$D$9:$D$208,"&lt;"&amp;($K18+1/24-1/1440),$E$9:$E$208,"&gt;"&amp;($K18+1/1440))&gt;1,"CONFLICT",INDEX($A$9:$A$208,SUMPRODUCT(MAX(($B$9:$B$208=N$9)*($D$9:$D$208&lt;$K18+1/24-1/1440)*($E$9:$E$208&gt;$K18+1/1440)*(ROW($B$9:$B$208)-8))))))</f>
        <v/>
      </c>
      <c r="O18" s="18" t="str">
        <f aca="false">IF(COUNTIFS($B$9:$B$208,O$9,$D$9:$D$208,"&lt;"&amp;($K18+1/24-1/1440),$E$9:$E$208,"&gt;"&amp;($K18+1/1440))=0,"",IF(COUNTIFS($B$9:$B$208,O$9,$D$9:$D$208,"&lt;"&amp;($K18+1/24-1/1440),$E$9:$E$208,"&gt;"&amp;($K18+1/1440))&gt;1,"CONFLICT",INDEX($A$9:$A$208,SUMPRODUCT(MAX(($B$9:$B$208=O$9)*($D$9:$D$208&lt;$K18+1/24-1/1440)*($E$9:$E$208&gt;$K18+1/1440)*(ROW($B$9:$B$208)-8))))))</f>
        <v/>
      </c>
      <c r="P18" s="18" t="str">
        <f aca="false">IF(COUNTIFS($B$9:$B$208,P$9,$D$9:$D$208,"&lt;"&amp;($K18+1/24-1/1440),$E$9:$E$208,"&gt;"&amp;($K18+1/1440))=0,"",IF(COUNTIFS($B$9:$B$208,P$9,$D$9:$D$208,"&lt;"&amp;($K18+1/24-1/1440),$E$9:$E$208,"&gt;"&amp;($K18+1/1440))&gt;1,"CONFLICT",INDEX($A$9:$A$208,SUMPRODUCT(MAX(($B$9:$B$208=P$9)*($D$9:$D$208&lt;$K18+1/24-1/1440)*($E$9:$E$208&gt;$K18+1/1440)*(ROW($B$9:$B$208)-8))))))</f>
        <v/>
      </c>
      <c r="Q18" s="18" t="str">
        <f aca="false">IF(COUNTIFS($B$9:$B$208,Q$9,$D$9:$D$208,"&lt;"&amp;($K18+1/24-1/1440),$E$9:$E$208,"&gt;"&amp;($K18+1/1440))=0,"",IF(COUNTIFS($B$9:$B$208,Q$9,$D$9:$D$208,"&lt;"&amp;($K18+1/24-1/1440),$E$9:$E$208,"&gt;"&amp;($K18+1/1440))&gt;1,"CONFLICT",INDEX($A$9:$A$208,SUMPRODUCT(MAX(($B$9:$B$208=Q$9)*($D$9:$D$208&lt;$K18+1/24-1/1440)*($E$9:$E$208&gt;$K18+1/1440)*(ROW($B$9:$B$208)-8))))))</f>
        <v/>
      </c>
      <c r="R18" s="18" t="str">
        <f aca="false">IF(COUNTIFS($B$9:$B$208,R$9,$D$9:$D$208,"&lt;"&amp;($K18+1/24-1/1440),$E$9:$E$208,"&gt;"&amp;($K18+1/1440))=0,"",IF(COUNTIFS($B$9:$B$208,R$9,$D$9:$D$208,"&lt;"&amp;($K18+1/24-1/1440),$E$9:$E$208,"&gt;"&amp;($K18+1/1440))&gt;1,"CONFLICT",INDEX($A$9:$A$208,SUMPRODUCT(MAX(($B$9:$B$208=R$9)*($D$9:$D$208&lt;$K18+1/24-1/1440)*($E$9:$E$208&gt;$K18+1/1440)*(ROW($B$9:$B$208)-8))))))</f>
        <v/>
      </c>
    </row>
    <row r="19" customFormat="false" ht="15" hidden="false" customHeight="false" outlineLevel="0" collapsed="false">
      <c r="A19" s="9"/>
      <c r="B19" s="10"/>
      <c r="C19" s="11" t="str">
        <f aca="false">IF(B19="","",CHOOSE(WEEKDAY(B19),"Sun","Mon","Tue","Wed","Thu","Fri","Sat"))</f>
        <v/>
      </c>
      <c r="D19" s="12"/>
      <c r="E19" s="12"/>
      <c r="F19" s="13" t="str">
        <f aca="false">IF(OR(D19="",E19=""),"",IF(E19&gt;D19,(E19-D19)*24,""))</f>
        <v/>
      </c>
      <c r="G19" s="9"/>
      <c r="H19" s="11" t="str">
        <f aca="false">IF(OR(A19="",B19="",D19="",E19=""),"",IF(E19&lt;=D19,"End before start",IF(COUNTIFS($B$9:$B$208,B19,$D$9:$D$208,"&lt;"&amp;(E19-1/1440),$E$9:$E$208,"&gt;"&amp;(D19+1/1440))&gt;1,"CONFLICT","OK")))</f>
        <v/>
      </c>
      <c r="K19" s="17" t="n">
        <v>0.666666666666667</v>
      </c>
      <c r="L19" s="18" t="str">
        <f aca="false">IF(COUNTIFS($B$9:$B$208,L$9,$D$9:$D$208,"&lt;"&amp;($K19+1/24-1/1440),$E$9:$E$208,"&gt;"&amp;($K19+1/1440))=0,"",IF(COUNTIFS($B$9:$B$208,L$9,$D$9:$D$208,"&lt;"&amp;($K19+1/24-1/1440),$E$9:$E$208,"&gt;"&amp;($K19+1/1440))&gt;1,"CONFLICT",INDEX($A$9:$A$208,SUMPRODUCT(MAX(($B$9:$B$208=L$9)*($D$9:$D$208&lt;$K19+1/24-1/1440)*($E$9:$E$208&gt;$K19+1/1440)*(ROW($B$9:$B$208)-8))))))</f>
        <v/>
      </c>
      <c r="M19" s="18" t="str">
        <f aca="false">IF(COUNTIFS($B$9:$B$208,M$9,$D$9:$D$208,"&lt;"&amp;($K19+1/24-1/1440),$E$9:$E$208,"&gt;"&amp;($K19+1/1440))=0,"",IF(COUNTIFS($B$9:$B$208,M$9,$D$9:$D$208,"&lt;"&amp;($K19+1/24-1/1440),$E$9:$E$208,"&gt;"&amp;($K19+1/1440))&gt;1,"CONFLICT",INDEX($A$9:$A$208,SUMPRODUCT(MAX(($B$9:$B$208=M$9)*($D$9:$D$208&lt;$K19+1/24-1/1440)*($E$9:$E$208&gt;$K19+1/1440)*(ROW($B$9:$B$208)-8))))))</f>
        <v/>
      </c>
      <c r="N19" s="18" t="str">
        <f aca="false">IF(COUNTIFS($B$9:$B$208,N$9,$D$9:$D$208,"&lt;"&amp;($K19+1/24-1/1440),$E$9:$E$208,"&gt;"&amp;($K19+1/1440))=0,"",IF(COUNTIFS($B$9:$B$208,N$9,$D$9:$D$208,"&lt;"&amp;($K19+1/24-1/1440),$E$9:$E$208,"&gt;"&amp;($K19+1/1440))&gt;1,"CONFLICT",INDEX($A$9:$A$208,SUMPRODUCT(MAX(($B$9:$B$208=N$9)*($D$9:$D$208&lt;$K19+1/24-1/1440)*($E$9:$E$208&gt;$K19+1/1440)*(ROW($B$9:$B$208)-8))))))</f>
        <v/>
      </c>
      <c r="O19" s="18" t="str">
        <f aca="false">IF(COUNTIFS($B$9:$B$208,O$9,$D$9:$D$208,"&lt;"&amp;($K19+1/24-1/1440),$E$9:$E$208,"&gt;"&amp;($K19+1/1440))=0,"",IF(COUNTIFS($B$9:$B$208,O$9,$D$9:$D$208,"&lt;"&amp;($K19+1/24-1/1440),$E$9:$E$208,"&gt;"&amp;($K19+1/1440))&gt;1,"CONFLICT",INDEX($A$9:$A$208,SUMPRODUCT(MAX(($B$9:$B$208=O$9)*($D$9:$D$208&lt;$K19+1/24-1/1440)*($E$9:$E$208&gt;$K19+1/1440)*(ROW($B$9:$B$208)-8))))))</f>
        <v/>
      </c>
      <c r="P19" s="18" t="str">
        <f aca="false">IF(COUNTIFS($B$9:$B$208,P$9,$D$9:$D$208,"&lt;"&amp;($K19+1/24-1/1440),$E$9:$E$208,"&gt;"&amp;($K19+1/1440))=0,"",IF(COUNTIFS($B$9:$B$208,P$9,$D$9:$D$208,"&lt;"&amp;($K19+1/24-1/1440),$E$9:$E$208,"&gt;"&amp;($K19+1/1440))&gt;1,"CONFLICT",INDEX($A$9:$A$208,SUMPRODUCT(MAX(($B$9:$B$208=P$9)*($D$9:$D$208&lt;$K19+1/24-1/1440)*($E$9:$E$208&gt;$K19+1/1440)*(ROW($B$9:$B$208)-8))))))</f>
        <v/>
      </c>
      <c r="Q19" s="18" t="str">
        <f aca="false">IF(COUNTIFS($B$9:$B$208,Q$9,$D$9:$D$208,"&lt;"&amp;($K19+1/24-1/1440),$E$9:$E$208,"&gt;"&amp;($K19+1/1440))=0,"",IF(COUNTIFS($B$9:$B$208,Q$9,$D$9:$D$208,"&lt;"&amp;($K19+1/24-1/1440),$E$9:$E$208,"&gt;"&amp;($K19+1/1440))&gt;1,"CONFLICT",INDEX($A$9:$A$208,SUMPRODUCT(MAX(($B$9:$B$208=Q$9)*($D$9:$D$208&lt;$K19+1/24-1/1440)*($E$9:$E$208&gt;$K19+1/1440)*(ROW($B$9:$B$208)-8))))))</f>
        <v/>
      </c>
      <c r="R19" s="18" t="str">
        <f aca="false">IF(COUNTIFS($B$9:$B$208,R$9,$D$9:$D$208,"&lt;"&amp;($K19+1/24-1/1440),$E$9:$E$208,"&gt;"&amp;($K19+1/1440))=0,"",IF(COUNTIFS($B$9:$B$208,R$9,$D$9:$D$208,"&lt;"&amp;($K19+1/24-1/1440),$E$9:$E$208,"&gt;"&amp;($K19+1/1440))&gt;1,"CONFLICT",INDEX($A$9:$A$208,SUMPRODUCT(MAX(($B$9:$B$208=R$9)*($D$9:$D$208&lt;$K19+1/24-1/1440)*($E$9:$E$208&gt;$K19+1/1440)*(ROW($B$9:$B$208)-8))))))</f>
        <v/>
      </c>
    </row>
    <row r="20" customFormat="false" ht="15" hidden="false" customHeight="false" outlineLevel="0" collapsed="false">
      <c r="A20" s="9"/>
      <c r="B20" s="10"/>
      <c r="C20" s="11" t="str">
        <f aca="false">IF(B20="","",CHOOSE(WEEKDAY(B20),"Sun","Mon","Tue","Wed","Thu","Fri","Sat"))</f>
        <v/>
      </c>
      <c r="D20" s="12"/>
      <c r="E20" s="12"/>
      <c r="F20" s="13" t="str">
        <f aca="false">IF(OR(D20="",E20=""),"",IF(E20&gt;D20,(E20-D20)*24,""))</f>
        <v/>
      </c>
      <c r="G20" s="9"/>
      <c r="H20" s="11" t="str">
        <f aca="false">IF(OR(A20="",B20="",D20="",E20=""),"",IF(E20&lt;=D20,"End before start",IF(COUNTIFS($B$9:$B$208,B20,$D$9:$D$208,"&lt;"&amp;(E20-1/1440),$E$9:$E$208,"&gt;"&amp;(D20+1/1440))&gt;1,"CONFLICT","OK")))</f>
        <v/>
      </c>
      <c r="K20" s="17" t="n">
        <v>0.708333333333333</v>
      </c>
      <c r="L20" s="18" t="str">
        <f aca="false">IF(COUNTIFS($B$9:$B$208,L$9,$D$9:$D$208,"&lt;"&amp;($K20+1/24-1/1440),$E$9:$E$208,"&gt;"&amp;($K20+1/1440))=0,"",IF(COUNTIFS($B$9:$B$208,L$9,$D$9:$D$208,"&lt;"&amp;($K20+1/24-1/1440),$E$9:$E$208,"&gt;"&amp;($K20+1/1440))&gt;1,"CONFLICT",INDEX($A$9:$A$208,SUMPRODUCT(MAX(($B$9:$B$208=L$9)*($D$9:$D$208&lt;$K20+1/24-1/1440)*($E$9:$E$208&gt;$K20+1/1440)*(ROW($B$9:$B$208)-8))))))</f>
        <v/>
      </c>
      <c r="M20" s="18" t="str">
        <f aca="false">IF(COUNTIFS($B$9:$B$208,M$9,$D$9:$D$208,"&lt;"&amp;($K20+1/24-1/1440),$E$9:$E$208,"&gt;"&amp;($K20+1/1440))=0,"",IF(COUNTIFS($B$9:$B$208,M$9,$D$9:$D$208,"&lt;"&amp;($K20+1/24-1/1440),$E$9:$E$208,"&gt;"&amp;($K20+1/1440))&gt;1,"CONFLICT",INDEX($A$9:$A$208,SUMPRODUCT(MAX(($B$9:$B$208=M$9)*($D$9:$D$208&lt;$K20+1/24-1/1440)*($E$9:$E$208&gt;$K20+1/1440)*(ROW($B$9:$B$208)-8))))))</f>
        <v/>
      </c>
      <c r="N20" s="18" t="str">
        <f aca="false">IF(COUNTIFS($B$9:$B$208,N$9,$D$9:$D$208,"&lt;"&amp;($K20+1/24-1/1440),$E$9:$E$208,"&gt;"&amp;($K20+1/1440))=0,"",IF(COUNTIFS($B$9:$B$208,N$9,$D$9:$D$208,"&lt;"&amp;($K20+1/24-1/1440),$E$9:$E$208,"&gt;"&amp;($K20+1/1440))&gt;1,"CONFLICT",INDEX($A$9:$A$208,SUMPRODUCT(MAX(($B$9:$B$208=N$9)*($D$9:$D$208&lt;$K20+1/24-1/1440)*($E$9:$E$208&gt;$K20+1/1440)*(ROW($B$9:$B$208)-8))))))</f>
        <v/>
      </c>
      <c r="O20" s="18" t="str">
        <f aca="false">IF(COUNTIFS($B$9:$B$208,O$9,$D$9:$D$208,"&lt;"&amp;($K20+1/24-1/1440),$E$9:$E$208,"&gt;"&amp;($K20+1/1440))=0,"",IF(COUNTIFS($B$9:$B$208,O$9,$D$9:$D$208,"&lt;"&amp;($K20+1/24-1/1440),$E$9:$E$208,"&gt;"&amp;($K20+1/1440))&gt;1,"CONFLICT",INDEX($A$9:$A$208,SUMPRODUCT(MAX(($B$9:$B$208=O$9)*($D$9:$D$208&lt;$K20+1/24-1/1440)*($E$9:$E$208&gt;$K20+1/1440)*(ROW($B$9:$B$208)-8))))))</f>
        <v/>
      </c>
      <c r="P20" s="18" t="str">
        <f aca="false">IF(COUNTIFS($B$9:$B$208,P$9,$D$9:$D$208,"&lt;"&amp;($K20+1/24-1/1440),$E$9:$E$208,"&gt;"&amp;($K20+1/1440))=0,"",IF(COUNTIFS($B$9:$B$208,P$9,$D$9:$D$208,"&lt;"&amp;($K20+1/24-1/1440),$E$9:$E$208,"&gt;"&amp;($K20+1/1440))&gt;1,"CONFLICT",INDEX($A$9:$A$208,SUMPRODUCT(MAX(($B$9:$B$208=P$9)*($D$9:$D$208&lt;$K20+1/24-1/1440)*($E$9:$E$208&gt;$K20+1/1440)*(ROW($B$9:$B$208)-8))))))</f>
        <v/>
      </c>
      <c r="Q20" s="18" t="str">
        <f aca="false">IF(COUNTIFS($B$9:$B$208,Q$9,$D$9:$D$208,"&lt;"&amp;($K20+1/24-1/1440),$E$9:$E$208,"&gt;"&amp;($K20+1/1440))=0,"",IF(COUNTIFS($B$9:$B$208,Q$9,$D$9:$D$208,"&lt;"&amp;($K20+1/24-1/1440),$E$9:$E$208,"&gt;"&amp;($K20+1/1440))&gt;1,"CONFLICT",INDEX($A$9:$A$208,SUMPRODUCT(MAX(($B$9:$B$208=Q$9)*($D$9:$D$208&lt;$K20+1/24-1/1440)*($E$9:$E$208&gt;$K20+1/1440)*(ROW($B$9:$B$208)-8))))))</f>
        <v/>
      </c>
      <c r="R20" s="18" t="str">
        <f aca="false">IF(COUNTIFS($B$9:$B$208,R$9,$D$9:$D$208,"&lt;"&amp;($K20+1/24-1/1440),$E$9:$E$208,"&gt;"&amp;($K20+1/1440))=0,"",IF(COUNTIFS($B$9:$B$208,R$9,$D$9:$D$208,"&lt;"&amp;($K20+1/24-1/1440),$E$9:$E$208,"&gt;"&amp;($K20+1/1440))&gt;1,"CONFLICT",INDEX($A$9:$A$208,SUMPRODUCT(MAX(($B$9:$B$208=R$9)*($D$9:$D$208&lt;$K20+1/24-1/1440)*($E$9:$E$208&gt;$K20+1/1440)*(ROW($B$9:$B$208)-8))))))</f>
        <v/>
      </c>
    </row>
    <row r="21" customFormat="false" ht="15" hidden="false" customHeight="false" outlineLevel="0" collapsed="false">
      <c r="A21" s="9"/>
      <c r="B21" s="10"/>
      <c r="C21" s="11" t="str">
        <f aca="false">IF(B21="","",CHOOSE(WEEKDAY(B21),"Sun","Mon","Tue","Wed","Thu","Fri","Sat"))</f>
        <v/>
      </c>
      <c r="D21" s="12"/>
      <c r="E21" s="12"/>
      <c r="F21" s="13" t="str">
        <f aca="false">IF(OR(D21="",E21=""),"",IF(E21&gt;D21,(E21-D21)*24,""))</f>
        <v/>
      </c>
      <c r="G21" s="9"/>
      <c r="H21" s="11" t="str">
        <f aca="false">IF(OR(A21="",B21="",D21="",E21=""),"",IF(E21&lt;=D21,"End before start",IF(COUNTIFS($B$9:$B$208,B21,$D$9:$D$208,"&lt;"&amp;(E21-1/1440),$E$9:$E$208,"&gt;"&amp;(D21+1/1440))&gt;1,"CONFLICT","OK")))</f>
        <v/>
      </c>
      <c r="K21" s="17" t="n">
        <v>0.75</v>
      </c>
      <c r="L21" s="18" t="str">
        <f aca="false">IF(COUNTIFS($B$9:$B$208,L$9,$D$9:$D$208,"&lt;"&amp;($K21+1/24-1/1440),$E$9:$E$208,"&gt;"&amp;($K21+1/1440))=0,"",IF(COUNTIFS($B$9:$B$208,L$9,$D$9:$D$208,"&lt;"&amp;($K21+1/24-1/1440),$E$9:$E$208,"&gt;"&amp;($K21+1/1440))&gt;1,"CONFLICT",INDEX($A$9:$A$208,SUMPRODUCT(MAX(($B$9:$B$208=L$9)*($D$9:$D$208&lt;$K21+1/24-1/1440)*($E$9:$E$208&gt;$K21+1/1440)*(ROW($B$9:$B$208)-8))))))</f>
        <v/>
      </c>
      <c r="M21" s="18" t="str">
        <f aca="false">IF(COUNTIFS($B$9:$B$208,M$9,$D$9:$D$208,"&lt;"&amp;($K21+1/24-1/1440),$E$9:$E$208,"&gt;"&amp;($K21+1/1440))=0,"",IF(COUNTIFS($B$9:$B$208,M$9,$D$9:$D$208,"&lt;"&amp;($K21+1/24-1/1440),$E$9:$E$208,"&gt;"&amp;($K21+1/1440))&gt;1,"CONFLICT",INDEX($A$9:$A$208,SUMPRODUCT(MAX(($B$9:$B$208=M$9)*($D$9:$D$208&lt;$K21+1/24-1/1440)*($E$9:$E$208&gt;$K21+1/1440)*(ROW($B$9:$B$208)-8))))))</f>
        <v/>
      </c>
      <c r="N21" s="18" t="str">
        <f aca="false">IF(COUNTIFS($B$9:$B$208,N$9,$D$9:$D$208,"&lt;"&amp;($K21+1/24-1/1440),$E$9:$E$208,"&gt;"&amp;($K21+1/1440))=0,"",IF(COUNTIFS($B$9:$B$208,N$9,$D$9:$D$208,"&lt;"&amp;($K21+1/24-1/1440),$E$9:$E$208,"&gt;"&amp;($K21+1/1440))&gt;1,"CONFLICT",INDEX($A$9:$A$208,SUMPRODUCT(MAX(($B$9:$B$208=N$9)*($D$9:$D$208&lt;$K21+1/24-1/1440)*($E$9:$E$208&gt;$K21+1/1440)*(ROW($B$9:$B$208)-8))))))</f>
        <v/>
      </c>
      <c r="O21" s="18" t="str">
        <f aca="false">IF(COUNTIFS($B$9:$B$208,O$9,$D$9:$D$208,"&lt;"&amp;($K21+1/24-1/1440),$E$9:$E$208,"&gt;"&amp;($K21+1/1440))=0,"",IF(COUNTIFS($B$9:$B$208,O$9,$D$9:$D$208,"&lt;"&amp;($K21+1/24-1/1440),$E$9:$E$208,"&gt;"&amp;($K21+1/1440))&gt;1,"CONFLICT",INDEX($A$9:$A$208,SUMPRODUCT(MAX(($B$9:$B$208=O$9)*($D$9:$D$208&lt;$K21+1/24-1/1440)*($E$9:$E$208&gt;$K21+1/1440)*(ROW($B$9:$B$208)-8))))))</f>
        <v/>
      </c>
      <c r="P21" s="18" t="str">
        <f aca="false">IF(COUNTIFS($B$9:$B$208,P$9,$D$9:$D$208,"&lt;"&amp;($K21+1/24-1/1440),$E$9:$E$208,"&gt;"&amp;($K21+1/1440))=0,"",IF(COUNTIFS($B$9:$B$208,P$9,$D$9:$D$208,"&lt;"&amp;($K21+1/24-1/1440),$E$9:$E$208,"&gt;"&amp;($K21+1/1440))&gt;1,"CONFLICT",INDEX($A$9:$A$208,SUMPRODUCT(MAX(($B$9:$B$208=P$9)*($D$9:$D$208&lt;$K21+1/24-1/1440)*($E$9:$E$208&gt;$K21+1/1440)*(ROW($B$9:$B$208)-8))))))</f>
        <v/>
      </c>
      <c r="Q21" s="18" t="str">
        <f aca="false">IF(COUNTIFS($B$9:$B$208,Q$9,$D$9:$D$208,"&lt;"&amp;($K21+1/24-1/1440),$E$9:$E$208,"&gt;"&amp;($K21+1/1440))=0,"",IF(COUNTIFS($B$9:$B$208,Q$9,$D$9:$D$208,"&lt;"&amp;($K21+1/24-1/1440),$E$9:$E$208,"&gt;"&amp;($K21+1/1440))&gt;1,"CONFLICT",INDEX($A$9:$A$208,SUMPRODUCT(MAX(($B$9:$B$208=Q$9)*($D$9:$D$208&lt;$K21+1/24-1/1440)*($E$9:$E$208&gt;$K21+1/1440)*(ROW($B$9:$B$208)-8))))))</f>
        <v/>
      </c>
      <c r="R21" s="18" t="str">
        <f aca="false">IF(COUNTIFS($B$9:$B$208,R$9,$D$9:$D$208,"&lt;"&amp;($K21+1/24-1/1440),$E$9:$E$208,"&gt;"&amp;($K21+1/1440))=0,"",IF(COUNTIFS($B$9:$B$208,R$9,$D$9:$D$208,"&lt;"&amp;($K21+1/24-1/1440),$E$9:$E$208,"&gt;"&amp;($K21+1/1440))&gt;1,"CONFLICT",INDEX($A$9:$A$208,SUMPRODUCT(MAX(($B$9:$B$208=R$9)*($D$9:$D$208&lt;$K21+1/24-1/1440)*($E$9:$E$208&gt;$K21+1/1440)*(ROW($B$9:$B$208)-8))))))</f>
        <v/>
      </c>
    </row>
    <row r="22" customFormat="false" ht="15" hidden="false" customHeight="false" outlineLevel="0" collapsed="false">
      <c r="A22" s="9"/>
      <c r="B22" s="10"/>
      <c r="C22" s="11" t="str">
        <f aca="false">IF(B22="","",CHOOSE(WEEKDAY(B22),"Sun","Mon","Tue","Wed","Thu","Fri","Sat"))</f>
        <v/>
      </c>
      <c r="D22" s="12"/>
      <c r="E22" s="12"/>
      <c r="F22" s="13" t="str">
        <f aca="false">IF(OR(D22="",E22=""),"",IF(E22&gt;D22,(E22-D22)*24,""))</f>
        <v/>
      </c>
      <c r="G22" s="9"/>
      <c r="H22" s="11" t="str">
        <f aca="false">IF(OR(A22="",B22="",D22="",E22=""),"",IF(E22&lt;=D22,"End before start",IF(COUNTIFS($B$9:$B$208,B22,$D$9:$D$208,"&lt;"&amp;(E22-1/1440),$E$9:$E$208,"&gt;"&amp;(D22+1/1440))&gt;1,"CONFLICT","OK")))</f>
        <v/>
      </c>
      <c r="K22" s="17" t="n">
        <v>0.791666666666667</v>
      </c>
      <c r="L22" s="18" t="str">
        <f aca="false">IF(COUNTIFS($B$9:$B$208,L$9,$D$9:$D$208,"&lt;"&amp;($K22+1/24-1/1440),$E$9:$E$208,"&gt;"&amp;($K22+1/1440))=0,"",IF(COUNTIFS($B$9:$B$208,L$9,$D$9:$D$208,"&lt;"&amp;($K22+1/24-1/1440),$E$9:$E$208,"&gt;"&amp;($K22+1/1440))&gt;1,"CONFLICT",INDEX($A$9:$A$208,SUMPRODUCT(MAX(($B$9:$B$208=L$9)*($D$9:$D$208&lt;$K22+1/24-1/1440)*($E$9:$E$208&gt;$K22+1/1440)*(ROW($B$9:$B$208)-8))))))</f>
        <v/>
      </c>
      <c r="M22" s="18" t="str">
        <f aca="false">IF(COUNTIFS($B$9:$B$208,M$9,$D$9:$D$208,"&lt;"&amp;($K22+1/24-1/1440),$E$9:$E$208,"&gt;"&amp;($K22+1/1440))=0,"",IF(COUNTIFS($B$9:$B$208,M$9,$D$9:$D$208,"&lt;"&amp;($K22+1/24-1/1440),$E$9:$E$208,"&gt;"&amp;($K22+1/1440))&gt;1,"CONFLICT",INDEX($A$9:$A$208,SUMPRODUCT(MAX(($B$9:$B$208=M$9)*($D$9:$D$208&lt;$K22+1/24-1/1440)*($E$9:$E$208&gt;$K22+1/1440)*(ROW($B$9:$B$208)-8))))))</f>
        <v/>
      </c>
      <c r="N22" s="18" t="str">
        <f aca="false">IF(COUNTIFS($B$9:$B$208,N$9,$D$9:$D$208,"&lt;"&amp;($K22+1/24-1/1440),$E$9:$E$208,"&gt;"&amp;($K22+1/1440))=0,"",IF(COUNTIFS($B$9:$B$208,N$9,$D$9:$D$208,"&lt;"&amp;($K22+1/24-1/1440),$E$9:$E$208,"&gt;"&amp;($K22+1/1440))&gt;1,"CONFLICT",INDEX($A$9:$A$208,SUMPRODUCT(MAX(($B$9:$B$208=N$9)*($D$9:$D$208&lt;$K22+1/24-1/1440)*($E$9:$E$208&gt;$K22+1/1440)*(ROW($B$9:$B$208)-8))))))</f>
        <v/>
      </c>
      <c r="O22" s="18" t="str">
        <f aca="false">IF(COUNTIFS($B$9:$B$208,O$9,$D$9:$D$208,"&lt;"&amp;($K22+1/24-1/1440),$E$9:$E$208,"&gt;"&amp;($K22+1/1440))=0,"",IF(COUNTIFS($B$9:$B$208,O$9,$D$9:$D$208,"&lt;"&amp;($K22+1/24-1/1440),$E$9:$E$208,"&gt;"&amp;($K22+1/1440))&gt;1,"CONFLICT",INDEX($A$9:$A$208,SUMPRODUCT(MAX(($B$9:$B$208=O$9)*($D$9:$D$208&lt;$K22+1/24-1/1440)*($E$9:$E$208&gt;$K22+1/1440)*(ROW($B$9:$B$208)-8))))))</f>
        <v/>
      </c>
      <c r="P22" s="18" t="str">
        <f aca="false">IF(COUNTIFS($B$9:$B$208,P$9,$D$9:$D$208,"&lt;"&amp;($K22+1/24-1/1440),$E$9:$E$208,"&gt;"&amp;($K22+1/1440))=0,"",IF(COUNTIFS($B$9:$B$208,P$9,$D$9:$D$208,"&lt;"&amp;($K22+1/24-1/1440),$E$9:$E$208,"&gt;"&amp;($K22+1/1440))&gt;1,"CONFLICT",INDEX($A$9:$A$208,SUMPRODUCT(MAX(($B$9:$B$208=P$9)*($D$9:$D$208&lt;$K22+1/24-1/1440)*($E$9:$E$208&gt;$K22+1/1440)*(ROW($B$9:$B$208)-8))))))</f>
        <v/>
      </c>
      <c r="Q22" s="18" t="str">
        <f aca="false">IF(COUNTIFS($B$9:$B$208,Q$9,$D$9:$D$208,"&lt;"&amp;($K22+1/24-1/1440),$E$9:$E$208,"&gt;"&amp;($K22+1/1440))=0,"",IF(COUNTIFS($B$9:$B$208,Q$9,$D$9:$D$208,"&lt;"&amp;($K22+1/24-1/1440),$E$9:$E$208,"&gt;"&amp;($K22+1/1440))&gt;1,"CONFLICT",INDEX($A$9:$A$208,SUMPRODUCT(MAX(($B$9:$B$208=Q$9)*($D$9:$D$208&lt;$K22+1/24-1/1440)*($E$9:$E$208&gt;$K22+1/1440)*(ROW($B$9:$B$208)-8))))))</f>
        <v/>
      </c>
      <c r="R22" s="18" t="str">
        <f aca="false">IF(COUNTIFS($B$9:$B$208,R$9,$D$9:$D$208,"&lt;"&amp;($K22+1/24-1/1440),$E$9:$E$208,"&gt;"&amp;($K22+1/1440))=0,"",IF(COUNTIFS($B$9:$B$208,R$9,$D$9:$D$208,"&lt;"&amp;($K22+1/24-1/1440),$E$9:$E$208,"&gt;"&amp;($K22+1/1440))&gt;1,"CONFLICT",INDEX($A$9:$A$208,SUMPRODUCT(MAX(($B$9:$B$208=R$9)*($D$9:$D$208&lt;$K22+1/24-1/1440)*($E$9:$E$208&gt;$K22+1/1440)*(ROW($B$9:$B$208)-8))))))</f>
        <v/>
      </c>
    </row>
    <row r="23" customFormat="false" ht="15" hidden="false" customHeight="false" outlineLevel="0" collapsed="false">
      <c r="A23" s="9"/>
      <c r="B23" s="10"/>
      <c r="C23" s="11" t="str">
        <f aca="false">IF(B23="","",CHOOSE(WEEKDAY(B23),"Sun","Mon","Tue","Wed","Thu","Fri","Sat"))</f>
        <v/>
      </c>
      <c r="D23" s="12"/>
      <c r="E23" s="12"/>
      <c r="F23" s="13" t="str">
        <f aca="false">IF(OR(D23="",E23=""),"",IF(E23&gt;D23,(E23-D23)*24,""))</f>
        <v/>
      </c>
      <c r="G23" s="9"/>
      <c r="H23" s="11" t="str">
        <f aca="false">IF(OR(A23="",B23="",D23="",E23=""),"",IF(E23&lt;=D23,"End before start",IF(COUNTIFS($B$9:$B$208,B23,$D$9:$D$208,"&lt;"&amp;(E23-1/1440),$E$9:$E$208,"&gt;"&amp;(D23+1/1440))&gt;1,"CONFLICT","OK")))</f>
        <v/>
      </c>
      <c r="K23" s="17" t="n">
        <v>0.833333333333333</v>
      </c>
      <c r="L23" s="18" t="str">
        <f aca="false">IF(COUNTIFS($B$9:$B$208,L$9,$D$9:$D$208,"&lt;"&amp;($K23+1/24-1/1440),$E$9:$E$208,"&gt;"&amp;($K23+1/1440))=0,"",IF(COUNTIFS($B$9:$B$208,L$9,$D$9:$D$208,"&lt;"&amp;($K23+1/24-1/1440),$E$9:$E$208,"&gt;"&amp;($K23+1/1440))&gt;1,"CONFLICT",INDEX($A$9:$A$208,SUMPRODUCT(MAX(($B$9:$B$208=L$9)*($D$9:$D$208&lt;$K23+1/24-1/1440)*($E$9:$E$208&gt;$K23+1/1440)*(ROW($B$9:$B$208)-8))))))</f>
        <v/>
      </c>
      <c r="M23" s="18" t="str">
        <f aca="false">IF(COUNTIFS($B$9:$B$208,M$9,$D$9:$D$208,"&lt;"&amp;($K23+1/24-1/1440),$E$9:$E$208,"&gt;"&amp;($K23+1/1440))=0,"",IF(COUNTIFS($B$9:$B$208,M$9,$D$9:$D$208,"&lt;"&amp;($K23+1/24-1/1440),$E$9:$E$208,"&gt;"&amp;($K23+1/1440))&gt;1,"CONFLICT",INDEX($A$9:$A$208,SUMPRODUCT(MAX(($B$9:$B$208=M$9)*($D$9:$D$208&lt;$K23+1/24-1/1440)*($E$9:$E$208&gt;$K23+1/1440)*(ROW($B$9:$B$208)-8))))))</f>
        <v/>
      </c>
      <c r="N23" s="18" t="str">
        <f aca="false">IF(COUNTIFS($B$9:$B$208,N$9,$D$9:$D$208,"&lt;"&amp;($K23+1/24-1/1440),$E$9:$E$208,"&gt;"&amp;($K23+1/1440))=0,"",IF(COUNTIFS($B$9:$B$208,N$9,$D$9:$D$208,"&lt;"&amp;($K23+1/24-1/1440),$E$9:$E$208,"&gt;"&amp;($K23+1/1440))&gt;1,"CONFLICT",INDEX($A$9:$A$208,SUMPRODUCT(MAX(($B$9:$B$208=N$9)*($D$9:$D$208&lt;$K23+1/24-1/1440)*($E$9:$E$208&gt;$K23+1/1440)*(ROW($B$9:$B$208)-8))))))</f>
        <v/>
      </c>
      <c r="O23" s="18" t="str">
        <f aca="false">IF(COUNTIFS($B$9:$B$208,O$9,$D$9:$D$208,"&lt;"&amp;($K23+1/24-1/1440),$E$9:$E$208,"&gt;"&amp;($K23+1/1440))=0,"",IF(COUNTIFS($B$9:$B$208,O$9,$D$9:$D$208,"&lt;"&amp;($K23+1/24-1/1440),$E$9:$E$208,"&gt;"&amp;($K23+1/1440))&gt;1,"CONFLICT",INDEX($A$9:$A$208,SUMPRODUCT(MAX(($B$9:$B$208=O$9)*($D$9:$D$208&lt;$K23+1/24-1/1440)*($E$9:$E$208&gt;$K23+1/1440)*(ROW($B$9:$B$208)-8))))))</f>
        <v/>
      </c>
      <c r="P23" s="18" t="str">
        <f aca="false">IF(COUNTIFS($B$9:$B$208,P$9,$D$9:$D$208,"&lt;"&amp;($K23+1/24-1/1440),$E$9:$E$208,"&gt;"&amp;($K23+1/1440))=0,"",IF(COUNTIFS($B$9:$B$208,P$9,$D$9:$D$208,"&lt;"&amp;($K23+1/24-1/1440),$E$9:$E$208,"&gt;"&amp;($K23+1/1440))&gt;1,"CONFLICT",INDEX($A$9:$A$208,SUMPRODUCT(MAX(($B$9:$B$208=P$9)*($D$9:$D$208&lt;$K23+1/24-1/1440)*($E$9:$E$208&gt;$K23+1/1440)*(ROW($B$9:$B$208)-8))))))</f>
        <v/>
      </c>
      <c r="Q23" s="18" t="str">
        <f aca="false">IF(COUNTIFS($B$9:$B$208,Q$9,$D$9:$D$208,"&lt;"&amp;($K23+1/24-1/1440),$E$9:$E$208,"&gt;"&amp;($K23+1/1440))=0,"",IF(COUNTIFS($B$9:$B$208,Q$9,$D$9:$D$208,"&lt;"&amp;($K23+1/24-1/1440),$E$9:$E$208,"&gt;"&amp;($K23+1/1440))&gt;1,"CONFLICT",INDEX($A$9:$A$208,SUMPRODUCT(MAX(($B$9:$B$208=Q$9)*($D$9:$D$208&lt;$K23+1/24-1/1440)*($E$9:$E$208&gt;$K23+1/1440)*(ROW($B$9:$B$208)-8))))))</f>
        <v/>
      </c>
      <c r="R23" s="18" t="str">
        <f aca="false">IF(COUNTIFS($B$9:$B$208,R$9,$D$9:$D$208,"&lt;"&amp;($K23+1/24-1/1440),$E$9:$E$208,"&gt;"&amp;($K23+1/1440))=0,"",IF(COUNTIFS($B$9:$B$208,R$9,$D$9:$D$208,"&lt;"&amp;($K23+1/24-1/1440),$E$9:$E$208,"&gt;"&amp;($K23+1/1440))&gt;1,"CONFLICT",INDEX($A$9:$A$208,SUMPRODUCT(MAX(($B$9:$B$208=R$9)*($D$9:$D$208&lt;$K23+1/24-1/1440)*($E$9:$E$208&gt;$K23+1/1440)*(ROW($B$9:$B$208)-8))))))</f>
        <v/>
      </c>
    </row>
    <row r="24" customFormat="false" ht="15" hidden="false" customHeight="false" outlineLevel="0" collapsed="false">
      <c r="A24" s="9"/>
      <c r="B24" s="10"/>
      <c r="C24" s="11" t="str">
        <f aca="false">IF(B24="","",CHOOSE(WEEKDAY(B24),"Sun","Mon","Tue","Wed","Thu","Fri","Sat"))</f>
        <v/>
      </c>
      <c r="D24" s="12"/>
      <c r="E24" s="12"/>
      <c r="F24" s="13" t="str">
        <f aca="false">IF(OR(D24="",E24=""),"",IF(E24&gt;D24,(E24-D24)*24,""))</f>
        <v/>
      </c>
      <c r="G24" s="9"/>
      <c r="H24" s="11" t="str">
        <f aca="false">IF(OR(A24="",B24="",D24="",E24=""),"",IF(E24&lt;=D24,"End before start",IF(COUNTIFS($B$9:$B$208,B24,$D$9:$D$208,"&lt;"&amp;(E24-1/1440),$E$9:$E$208,"&gt;"&amp;(D24+1/1440))&gt;1,"CONFLICT","OK")))</f>
        <v/>
      </c>
      <c r="K24" s="17" t="n">
        <v>0.875</v>
      </c>
      <c r="L24" s="18" t="str">
        <f aca="false">IF(COUNTIFS($B$9:$B$208,L$9,$D$9:$D$208,"&lt;"&amp;($K24+1/24-1/1440),$E$9:$E$208,"&gt;"&amp;($K24+1/1440))=0,"",IF(COUNTIFS($B$9:$B$208,L$9,$D$9:$D$208,"&lt;"&amp;($K24+1/24-1/1440),$E$9:$E$208,"&gt;"&amp;($K24+1/1440))&gt;1,"CONFLICT",INDEX($A$9:$A$208,SUMPRODUCT(MAX(($B$9:$B$208=L$9)*($D$9:$D$208&lt;$K24+1/24-1/1440)*($E$9:$E$208&gt;$K24+1/1440)*(ROW($B$9:$B$208)-8))))))</f>
        <v/>
      </c>
      <c r="M24" s="18" t="str">
        <f aca="false">IF(COUNTIFS($B$9:$B$208,M$9,$D$9:$D$208,"&lt;"&amp;($K24+1/24-1/1440),$E$9:$E$208,"&gt;"&amp;($K24+1/1440))=0,"",IF(COUNTIFS($B$9:$B$208,M$9,$D$9:$D$208,"&lt;"&amp;($K24+1/24-1/1440),$E$9:$E$208,"&gt;"&amp;($K24+1/1440))&gt;1,"CONFLICT",INDEX($A$9:$A$208,SUMPRODUCT(MAX(($B$9:$B$208=M$9)*($D$9:$D$208&lt;$K24+1/24-1/1440)*($E$9:$E$208&gt;$K24+1/1440)*(ROW($B$9:$B$208)-8))))))</f>
        <v/>
      </c>
      <c r="N24" s="18" t="str">
        <f aca="false">IF(COUNTIFS($B$9:$B$208,N$9,$D$9:$D$208,"&lt;"&amp;($K24+1/24-1/1440),$E$9:$E$208,"&gt;"&amp;($K24+1/1440))=0,"",IF(COUNTIFS($B$9:$B$208,N$9,$D$9:$D$208,"&lt;"&amp;($K24+1/24-1/1440),$E$9:$E$208,"&gt;"&amp;($K24+1/1440))&gt;1,"CONFLICT",INDEX($A$9:$A$208,SUMPRODUCT(MAX(($B$9:$B$208=N$9)*($D$9:$D$208&lt;$K24+1/24-1/1440)*($E$9:$E$208&gt;$K24+1/1440)*(ROW($B$9:$B$208)-8))))))</f>
        <v/>
      </c>
      <c r="O24" s="18" t="str">
        <f aca="false">IF(COUNTIFS($B$9:$B$208,O$9,$D$9:$D$208,"&lt;"&amp;($K24+1/24-1/1440),$E$9:$E$208,"&gt;"&amp;($K24+1/1440))=0,"",IF(COUNTIFS($B$9:$B$208,O$9,$D$9:$D$208,"&lt;"&amp;($K24+1/24-1/1440),$E$9:$E$208,"&gt;"&amp;($K24+1/1440))&gt;1,"CONFLICT",INDEX($A$9:$A$208,SUMPRODUCT(MAX(($B$9:$B$208=O$9)*($D$9:$D$208&lt;$K24+1/24-1/1440)*($E$9:$E$208&gt;$K24+1/1440)*(ROW($B$9:$B$208)-8))))))</f>
        <v/>
      </c>
      <c r="P24" s="18" t="str">
        <f aca="false">IF(COUNTIFS($B$9:$B$208,P$9,$D$9:$D$208,"&lt;"&amp;($K24+1/24-1/1440),$E$9:$E$208,"&gt;"&amp;($K24+1/1440))=0,"",IF(COUNTIFS($B$9:$B$208,P$9,$D$9:$D$208,"&lt;"&amp;($K24+1/24-1/1440),$E$9:$E$208,"&gt;"&amp;($K24+1/1440))&gt;1,"CONFLICT",INDEX($A$9:$A$208,SUMPRODUCT(MAX(($B$9:$B$208=P$9)*($D$9:$D$208&lt;$K24+1/24-1/1440)*($E$9:$E$208&gt;$K24+1/1440)*(ROW($B$9:$B$208)-8))))))</f>
        <v/>
      </c>
      <c r="Q24" s="18" t="str">
        <f aca="false">IF(COUNTIFS($B$9:$B$208,Q$9,$D$9:$D$208,"&lt;"&amp;($K24+1/24-1/1440),$E$9:$E$208,"&gt;"&amp;($K24+1/1440))=0,"",IF(COUNTIFS($B$9:$B$208,Q$9,$D$9:$D$208,"&lt;"&amp;($K24+1/24-1/1440),$E$9:$E$208,"&gt;"&amp;($K24+1/1440))&gt;1,"CONFLICT",INDEX($A$9:$A$208,SUMPRODUCT(MAX(($B$9:$B$208=Q$9)*($D$9:$D$208&lt;$K24+1/24-1/1440)*($E$9:$E$208&gt;$K24+1/1440)*(ROW($B$9:$B$208)-8))))))</f>
        <v/>
      </c>
      <c r="R24" s="18" t="str">
        <f aca="false">IF(COUNTIFS($B$9:$B$208,R$9,$D$9:$D$208,"&lt;"&amp;($K24+1/24-1/1440),$E$9:$E$208,"&gt;"&amp;($K24+1/1440))=0,"",IF(COUNTIFS($B$9:$B$208,R$9,$D$9:$D$208,"&lt;"&amp;($K24+1/24-1/1440),$E$9:$E$208,"&gt;"&amp;($K24+1/1440))&gt;1,"CONFLICT",INDEX($A$9:$A$208,SUMPRODUCT(MAX(($B$9:$B$208=R$9)*($D$9:$D$208&lt;$K24+1/24-1/1440)*($E$9:$E$208&gt;$K24+1/1440)*(ROW($B$9:$B$208)-8))))))</f>
        <v/>
      </c>
    </row>
    <row r="25" customFormat="false" ht="15" hidden="false" customHeight="false" outlineLevel="0" collapsed="false">
      <c r="A25" s="9"/>
      <c r="B25" s="10"/>
      <c r="C25" s="11" t="str">
        <f aca="false">IF(B25="","",CHOOSE(WEEKDAY(B25),"Sun","Mon","Tue","Wed","Thu","Fri","Sat"))</f>
        <v/>
      </c>
      <c r="D25" s="12"/>
      <c r="E25" s="12"/>
      <c r="F25" s="13" t="str">
        <f aca="false">IF(OR(D25="",E25=""),"",IF(E25&gt;D25,(E25-D25)*24,""))</f>
        <v/>
      </c>
      <c r="G25" s="9"/>
      <c r="H25" s="11" t="str">
        <f aca="false">IF(OR(A25="",B25="",D25="",E25=""),"",IF(E25&lt;=D25,"End before start",IF(COUNTIFS($B$9:$B$208,B25,$D$9:$D$208,"&lt;"&amp;(E25-1/1440),$E$9:$E$208,"&gt;"&amp;(D25+1/1440))&gt;1,"CONFLICT","OK")))</f>
        <v/>
      </c>
      <c r="K25" s="17" t="n">
        <v>0.916666666666667</v>
      </c>
      <c r="L25" s="18" t="str">
        <f aca="false">IF(COUNTIFS($B$9:$B$208,L$9,$D$9:$D$208,"&lt;"&amp;($K25+1/24-1/1440),$E$9:$E$208,"&gt;"&amp;($K25+1/1440))=0,"",IF(COUNTIFS($B$9:$B$208,L$9,$D$9:$D$208,"&lt;"&amp;($K25+1/24-1/1440),$E$9:$E$208,"&gt;"&amp;($K25+1/1440))&gt;1,"CONFLICT",INDEX($A$9:$A$208,SUMPRODUCT(MAX(($B$9:$B$208=L$9)*($D$9:$D$208&lt;$K25+1/24-1/1440)*($E$9:$E$208&gt;$K25+1/1440)*(ROW($B$9:$B$208)-8))))))</f>
        <v/>
      </c>
      <c r="M25" s="18" t="str">
        <f aca="false">IF(COUNTIFS($B$9:$B$208,M$9,$D$9:$D$208,"&lt;"&amp;($K25+1/24-1/1440),$E$9:$E$208,"&gt;"&amp;($K25+1/1440))=0,"",IF(COUNTIFS($B$9:$B$208,M$9,$D$9:$D$208,"&lt;"&amp;($K25+1/24-1/1440),$E$9:$E$208,"&gt;"&amp;($K25+1/1440))&gt;1,"CONFLICT",INDEX($A$9:$A$208,SUMPRODUCT(MAX(($B$9:$B$208=M$9)*($D$9:$D$208&lt;$K25+1/24-1/1440)*($E$9:$E$208&gt;$K25+1/1440)*(ROW($B$9:$B$208)-8))))))</f>
        <v/>
      </c>
      <c r="N25" s="18" t="str">
        <f aca="false">IF(COUNTIFS($B$9:$B$208,N$9,$D$9:$D$208,"&lt;"&amp;($K25+1/24-1/1440),$E$9:$E$208,"&gt;"&amp;($K25+1/1440))=0,"",IF(COUNTIFS($B$9:$B$208,N$9,$D$9:$D$208,"&lt;"&amp;($K25+1/24-1/1440),$E$9:$E$208,"&gt;"&amp;($K25+1/1440))&gt;1,"CONFLICT",INDEX($A$9:$A$208,SUMPRODUCT(MAX(($B$9:$B$208=N$9)*($D$9:$D$208&lt;$K25+1/24-1/1440)*($E$9:$E$208&gt;$K25+1/1440)*(ROW($B$9:$B$208)-8))))))</f>
        <v/>
      </c>
      <c r="O25" s="18" t="str">
        <f aca="false">IF(COUNTIFS($B$9:$B$208,O$9,$D$9:$D$208,"&lt;"&amp;($K25+1/24-1/1440),$E$9:$E$208,"&gt;"&amp;($K25+1/1440))=0,"",IF(COUNTIFS($B$9:$B$208,O$9,$D$9:$D$208,"&lt;"&amp;($K25+1/24-1/1440),$E$9:$E$208,"&gt;"&amp;($K25+1/1440))&gt;1,"CONFLICT",INDEX($A$9:$A$208,SUMPRODUCT(MAX(($B$9:$B$208=O$9)*($D$9:$D$208&lt;$K25+1/24-1/1440)*($E$9:$E$208&gt;$K25+1/1440)*(ROW($B$9:$B$208)-8))))))</f>
        <v/>
      </c>
      <c r="P25" s="18" t="str">
        <f aca="false">IF(COUNTIFS($B$9:$B$208,P$9,$D$9:$D$208,"&lt;"&amp;($K25+1/24-1/1440),$E$9:$E$208,"&gt;"&amp;($K25+1/1440))=0,"",IF(COUNTIFS($B$9:$B$208,P$9,$D$9:$D$208,"&lt;"&amp;($K25+1/24-1/1440),$E$9:$E$208,"&gt;"&amp;($K25+1/1440))&gt;1,"CONFLICT",INDEX($A$9:$A$208,SUMPRODUCT(MAX(($B$9:$B$208=P$9)*($D$9:$D$208&lt;$K25+1/24-1/1440)*($E$9:$E$208&gt;$K25+1/1440)*(ROW($B$9:$B$208)-8))))))</f>
        <v/>
      </c>
      <c r="Q25" s="18" t="str">
        <f aca="false">IF(COUNTIFS($B$9:$B$208,Q$9,$D$9:$D$208,"&lt;"&amp;($K25+1/24-1/1440),$E$9:$E$208,"&gt;"&amp;($K25+1/1440))=0,"",IF(COUNTIFS($B$9:$B$208,Q$9,$D$9:$D$208,"&lt;"&amp;($K25+1/24-1/1440),$E$9:$E$208,"&gt;"&amp;($K25+1/1440))&gt;1,"CONFLICT",INDEX($A$9:$A$208,SUMPRODUCT(MAX(($B$9:$B$208=Q$9)*($D$9:$D$208&lt;$K25+1/24-1/1440)*($E$9:$E$208&gt;$K25+1/1440)*(ROW($B$9:$B$208)-8))))))</f>
        <v/>
      </c>
      <c r="R25" s="18" t="str">
        <f aca="false">IF(COUNTIFS($B$9:$B$208,R$9,$D$9:$D$208,"&lt;"&amp;($K25+1/24-1/1440),$E$9:$E$208,"&gt;"&amp;($K25+1/1440))=0,"",IF(COUNTIFS($B$9:$B$208,R$9,$D$9:$D$208,"&lt;"&amp;($K25+1/24-1/1440),$E$9:$E$208,"&gt;"&amp;($K25+1/1440))&gt;1,"CONFLICT",INDEX($A$9:$A$208,SUMPRODUCT(MAX(($B$9:$B$208=R$9)*($D$9:$D$208&lt;$K25+1/24-1/1440)*($E$9:$E$208&gt;$K25+1/1440)*(ROW($B$9:$B$208)-8))))))</f>
        <v/>
      </c>
    </row>
    <row r="26" customFormat="false" ht="15" hidden="false" customHeight="false" outlineLevel="0" collapsed="false">
      <c r="A26" s="9"/>
      <c r="B26" s="10"/>
      <c r="C26" s="11" t="str">
        <f aca="false">IF(B26="","",CHOOSE(WEEKDAY(B26),"Sun","Mon","Tue","Wed","Thu","Fri","Sat"))</f>
        <v/>
      </c>
      <c r="D26" s="12"/>
      <c r="E26" s="12"/>
      <c r="F26" s="13" t="str">
        <f aca="false">IF(OR(D26="",E26=""),"",IF(E26&gt;D26,(E26-D26)*24,""))</f>
        <v/>
      </c>
      <c r="G26" s="9"/>
      <c r="H26" s="11" t="str">
        <f aca="false">IF(OR(A26="",B26="",D26="",E26=""),"",IF(E26&lt;=D26,"End before start",IF(COUNTIFS($B$9:$B$208,B26,$D$9:$D$208,"&lt;"&amp;(E26-1/1440),$E$9:$E$208,"&gt;"&amp;(D26+1/1440))&gt;1,"CONFLICT","OK")))</f>
        <v/>
      </c>
      <c r="K26" s="17" t="n">
        <v>0.958333333333333</v>
      </c>
      <c r="L26" s="18" t="str">
        <f aca="false">IF(COUNTIFS($B$9:$B$208,L$9,$D$9:$D$208,"&lt;"&amp;($K26+1/24-1/1440),$E$9:$E$208,"&gt;"&amp;($K26+1/1440))=0,"",IF(COUNTIFS($B$9:$B$208,L$9,$D$9:$D$208,"&lt;"&amp;($K26+1/24-1/1440),$E$9:$E$208,"&gt;"&amp;($K26+1/1440))&gt;1,"CONFLICT",INDEX($A$9:$A$208,SUMPRODUCT(MAX(($B$9:$B$208=L$9)*($D$9:$D$208&lt;$K26+1/24-1/1440)*($E$9:$E$208&gt;$K26+1/1440)*(ROW($B$9:$B$208)-8))))))</f>
        <v/>
      </c>
      <c r="M26" s="18" t="str">
        <f aca="false">IF(COUNTIFS($B$9:$B$208,M$9,$D$9:$D$208,"&lt;"&amp;($K26+1/24-1/1440),$E$9:$E$208,"&gt;"&amp;($K26+1/1440))=0,"",IF(COUNTIFS($B$9:$B$208,M$9,$D$9:$D$208,"&lt;"&amp;($K26+1/24-1/1440),$E$9:$E$208,"&gt;"&amp;($K26+1/1440))&gt;1,"CONFLICT",INDEX($A$9:$A$208,SUMPRODUCT(MAX(($B$9:$B$208=M$9)*($D$9:$D$208&lt;$K26+1/24-1/1440)*($E$9:$E$208&gt;$K26+1/1440)*(ROW($B$9:$B$208)-8))))))</f>
        <v/>
      </c>
      <c r="N26" s="18" t="str">
        <f aca="false">IF(COUNTIFS($B$9:$B$208,N$9,$D$9:$D$208,"&lt;"&amp;($K26+1/24-1/1440),$E$9:$E$208,"&gt;"&amp;($K26+1/1440))=0,"",IF(COUNTIFS($B$9:$B$208,N$9,$D$9:$D$208,"&lt;"&amp;($K26+1/24-1/1440),$E$9:$E$208,"&gt;"&amp;($K26+1/1440))&gt;1,"CONFLICT",INDEX($A$9:$A$208,SUMPRODUCT(MAX(($B$9:$B$208=N$9)*($D$9:$D$208&lt;$K26+1/24-1/1440)*($E$9:$E$208&gt;$K26+1/1440)*(ROW($B$9:$B$208)-8))))))</f>
        <v/>
      </c>
      <c r="O26" s="18" t="str">
        <f aca="false">IF(COUNTIFS($B$9:$B$208,O$9,$D$9:$D$208,"&lt;"&amp;($K26+1/24-1/1440),$E$9:$E$208,"&gt;"&amp;($K26+1/1440))=0,"",IF(COUNTIFS($B$9:$B$208,O$9,$D$9:$D$208,"&lt;"&amp;($K26+1/24-1/1440),$E$9:$E$208,"&gt;"&amp;($K26+1/1440))&gt;1,"CONFLICT",INDEX($A$9:$A$208,SUMPRODUCT(MAX(($B$9:$B$208=O$9)*($D$9:$D$208&lt;$K26+1/24-1/1440)*($E$9:$E$208&gt;$K26+1/1440)*(ROW($B$9:$B$208)-8))))))</f>
        <v/>
      </c>
      <c r="P26" s="18" t="str">
        <f aca="false">IF(COUNTIFS($B$9:$B$208,P$9,$D$9:$D$208,"&lt;"&amp;($K26+1/24-1/1440),$E$9:$E$208,"&gt;"&amp;($K26+1/1440))=0,"",IF(COUNTIFS($B$9:$B$208,P$9,$D$9:$D$208,"&lt;"&amp;($K26+1/24-1/1440),$E$9:$E$208,"&gt;"&amp;($K26+1/1440))&gt;1,"CONFLICT",INDEX($A$9:$A$208,SUMPRODUCT(MAX(($B$9:$B$208=P$9)*($D$9:$D$208&lt;$K26+1/24-1/1440)*($E$9:$E$208&gt;$K26+1/1440)*(ROW($B$9:$B$208)-8))))))</f>
        <v/>
      </c>
      <c r="Q26" s="18" t="str">
        <f aca="false">IF(COUNTIFS($B$9:$B$208,Q$9,$D$9:$D$208,"&lt;"&amp;($K26+1/24-1/1440),$E$9:$E$208,"&gt;"&amp;($K26+1/1440))=0,"",IF(COUNTIFS($B$9:$B$208,Q$9,$D$9:$D$208,"&lt;"&amp;($K26+1/24-1/1440),$E$9:$E$208,"&gt;"&amp;($K26+1/1440))&gt;1,"CONFLICT",INDEX($A$9:$A$208,SUMPRODUCT(MAX(($B$9:$B$208=Q$9)*($D$9:$D$208&lt;$K26+1/24-1/1440)*($E$9:$E$208&gt;$K26+1/1440)*(ROW($B$9:$B$208)-8))))))</f>
        <v/>
      </c>
      <c r="R26" s="18" t="str">
        <f aca="false">IF(COUNTIFS($B$9:$B$208,R$9,$D$9:$D$208,"&lt;"&amp;($K26+1/24-1/1440),$E$9:$E$208,"&gt;"&amp;($K26+1/1440))=0,"",IF(COUNTIFS($B$9:$B$208,R$9,$D$9:$D$208,"&lt;"&amp;($K26+1/24-1/1440),$E$9:$E$208,"&gt;"&amp;($K26+1/1440))&gt;1,"CONFLICT",INDEX($A$9:$A$208,SUMPRODUCT(MAX(($B$9:$B$208=R$9)*($D$9:$D$208&lt;$K26+1/24-1/1440)*($E$9:$E$208&gt;$K26+1/1440)*(ROW($B$9:$B$208)-8))))))</f>
        <v/>
      </c>
    </row>
    <row r="27" customFormat="false" ht="15" hidden="false" customHeight="false" outlineLevel="0" collapsed="false">
      <c r="A27" s="9"/>
      <c r="B27" s="10"/>
      <c r="C27" s="11" t="str">
        <f aca="false">IF(B27="","",CHOOSE(WEEKDAY(B27),"Sun","Mon","Tue","Wed","Thu","Fri","Sat"))</f>
        <v/>
      </c>
      <c r="D27" s="12"/>
      <c r="E27" s="12"/>
      <c r="F27" s="13" t="str">
        <f aca="false">IF(OR(D27="",E27=""),"",IF(E27&gt;D27,(E27-D27)*24,""))</f>
        <v/>
      </c>
      <c r="G27" s="9"/>
      <c r="H27" s="11" t="str">
        <f aca="false">IF(OR(A27="",B27="",D27="",E27=""),"",IF(E27&lt;=D27,"End before start",IF(COUNTIFS($B$9:$B$208,B27,$D$9:$D$208,"&lt;"&amp;(E27-1/1440),$E$9:$E$208,"&gt;"&amp;(D27+1/1440))&gt;1,"CONFLICT","OK")))</f>
        <v/>
      </c>
    </row>
    <row r="28" customFormat="false" ht="15" hidden="false" customHeight="false" outlineLevel="0" collapsed="false">
      <c r="A28" s="9"/>
      <c r="B28" s="10"/>
      <c r="C28" s="11" t="str">
        <f aca="false">IF(B28="","",CHOOSE(WEEKDAY(B28),"Sun","Mon","Tue","Wed","Thu","Fri","Sat"))</f>
        <v/>
      </c>
      <c r="D28" s="12"/>
      <c r="E28" s="12"/>
      <c r="F28" s="13" t="str">
        <f aca="false">IF(OR(D28="",E28=""),"",IF(E28&gt;D28,(E28-D28)*24,""))</f>
        <v/>
      </c>
      <c r="G28" s="9"/>
      <c r="H28" s="11" t="str">
        <f aca="false">IF(OR(A28="",B28="",D28="",E28=""),"",IF(E28&lt;=D28,"End before start",IF(COUNTIFS($B$9:$B$208,B28,$D$9:$D$208,"&lt;"&amp;(E28-1/1440),$E$9:$E$208,"&gt;"&amp;(D28+1/1440))&gt;1,"CONFLICT","OK")))</f>
        <v/>
      </c>
    </row>
    <row r="29" customFormat="false" ht="15" hidden="false" customHeight="false" outlineLevel="0" collapsed="false">
      <c r="A29" s="9"/>
      <c r="B29" s="10"/>
      <c r="C29" s="11" t="str">
        <f aca="false">IF(B29="","",CHOOSE(WEEKDAY(B29),"Sun","Mon","Tue","Wed","Thu","Fri","Sat"))</f>
        <v/>
      </c>
      <c r="D29" s="12"/>
      <c r="E29" s="12"/>
      <c r="F29" s="13" t="str">
        <f aca="false">IF(OR(D29="",E29=""),"",IF(E29&gt;D29,(E29-D29)*24,""))</f>
        <v/>
      </c>
      <c r="G29" s="9"/>
      <c r="H29" s="11" t="str">
        <f aca="false">IF(OR(A29="",B29="",D29="",E29=""),"",IF(E29&lt;=D29,"End before start",IF(COUNTIFS($B$9:$B$208,B29,$D$9:$D$208,"&lt;"&amp;(E29-1/1440),$E$9:$E$208,"&gt;"&amp;(D29+1/1440))&gt;1,"CONFLICT","OK")))</f>
        <v/>
      </c>
      <c r="K29" s="19" t="s">
        <v>20</v>
      </c>
    </row>
    <row r="30" customFormat="false" ht="15" hidden="false" customHeight="false" outlineLevel="0" collapsed="false">
      <c r="A30" s="9"/>
      <c r="B30" s="10"/>
      <c r="C30" s="11" t="str">
        <f aca="false">IF(B30="","",CHOOSE(WEEKDAY(B30),"Sun","Mon","Tue","Wed","Thu","Fri","Sat"))</f>
        <v/>
      </c>
      <c r="D30" s="12"/>
      <c r="E30" s="12"/>
      <c r="F30" s="13" t="str">
        <f aca="false">IF(OR(D30="",E30=""),"",IF(E30&gt;D30,(E30-D30)*24,""))</f>
        <v/>
      </c>
      <c r="G30" s="9"/>
      <c r="H30" s="11" t="str">
        <f aca="false">IF(OR(A30="",B30="",D30="",E30=""),"",IF(E30&lt;=D30,"End before start",IF(COUNTIFS($B$9:$B$208,B30,$D$9:$D$208,"&lt;"&amp;(E30-1/1440),$E$9:$E$208,"&gt;"&amp;(D30+1/1440))&gt;1,"CONFLICT","OK")))</f>
        <v/>
      </c>
      <c r="K30" s="20" t="s">
        <v>17</v>
      </c>
      <c r="L30" s="8" t="s">
        <v>21</v>
      </c>
    </row>
    <row r="31" customFormat="false" ht="15" hidden="false" customHeight="false" outlineLevel="0" collapsed="false">
      <c r="A31" s="9"/>
      <c r="B31" s="10"/>
      <c r="C31" s="11" t="str">
        <f aca="false">IF(B31="","",CHOOSE(WEEKDAY(B31),"Sun","Mon","Tue","Wed","Thu","Fri","Sat"))</f>
        <v/>
      </c>
      <c r="D31" s="12"/>
      <c r="E31" s="12"/>
      <c r="F31" s="13" t="str">
        <f aca="false">IF(OR(D31="",E31=""),"",IF(E31&gt;D31,(E31-D31)*24,""))</f>
        <v/>
      </c>
      <c r="G31" s="9"/>
      <c r="H31" s="11" t="str">
        <f aca="false">IF(OR(A31="",B31="",D31="",E31=""),"",IF(E31&lt;=D31,"End before start",IF(COUNTIFS($B$9:$B$208,B31,$D$9:$D$208,"&lt;"&amp;(E31-1/1440),$E$9:$E$208,"&gt;"&amp;(D31+1/1440))&gt;1,"CONFLICT","OK")))</f>
        <v/>
      </c>
      <c r="K31" s="21" t="s">
        <v>22</v>
      </c>
    </row>
    <row r="32" customFormat="false" ht="15" hidden="false" customHeight="false" outlineLevel="0" collapsed="false">
      <c r="A32" s="9"/>
      <c r="B32" s="10"/>
      <c r="C32" s="11" t="str">
        <f aca="false">IF(B32="","",CHOOSE(WEEKDAY(B32),"Sun","Mon","Tue","Wed","Thu","Fri","Sat"))</f>
        <v/>
      </c>
      <c r="D32" s="12"/>
      <c r="E32" s="12"/>
      <c r="F32" s="13" t="str">
        <f aca="false">IF(OR(D32="",E32=""),"",IF(E32&gt;D32,(E32-D32)*24,""))</f>
        <v/>
      </c>
      <c r="G32" s="9"/>
      <c r="H32" s="11" t="str">
        <f aca="false">IF(OR(A32="",B32="",D32="",E32=""),"",IF(E32&lt;=D32,"End before start",IF(COUNTIFS($B$9:$B$208,B32,$D$9:$D$208,"&lt;"&amp;(E32-1/1440),$E$9:$E$208,"&gt;"&amp;(D32+1/1440))&gt;1,"CONFLICT","OK")))</f>
        <v/>
      </c>
      <c r="K32" s="22" t="s">
        <v>23</v>
      </c>
    </row>
    <row r="33" customFormat="false" ht="15" hidden="false" customHeight="false" outlineLevel="0" collapsed="false">
      <c r="A33" s="9"/>
      <c r="B33" s="10"/>
      <c r="C33" s="11" t="str">
        <f aca="false">IF(B33="","",CHOOSE(WEEKDAY(B33),"Sun","Mon","Tue","Wed","Thu","Fri","Sat"))</f>
        <v/>
      </c>
      <c r="D33" s="12"/>
      <c r="E33" s="12"/>
      <c r="F33" s="13" t="str">
        <f aca="false">IF(OR(D33="",E33=""),"",IF(E33&gt;D33,(E33-D33)*24,""))</f>
        <v/>
      </c>
      <c r="G33" s="9"/>
      <c r="H33" s="11" t="str">
        <f aca="false">IF(OR(A33="",B33="",D33="",E33=""),"",IF(E33&lt;=D33,"End before start",IF(COUNTIFS($B$9:$B$208,B33,$D$9:$D$208,"&lt;"&amp;(E33-1/1440),$E$9:$E$208,"&gt;"&amp;(D33+1/1440))&gt;1,"CONFLICT","OK")))</f>
        <v/>
      </c>
      <c r="K33" s="23" t="s">
        <v>24</v>
      </c>
    </row>
    <row r="34" customFormat="false" ht="15" hidden="false" customHeight="false" outlineLevel="0" collapsed="false">
      <c r="A34" s="9"/>
      <c r="B34" s="10"/>
      <c r="C34" s="11" t="str">
        <f aca="false">IF(B34="","",CHOOSE(WEEKDAY(B34),"Sun","Mon","Tue","Wed","Thu","Fri","Sat"))</f>
        <v/>
      </c>
      <c r="D34" s="12"/>
      <c r="E34" s="12"/>
      <c r="F34" s="13" t="str">
        <f aca="false">IF(OR(D34="",E34=""),"",IF(E34&gt;D34,(E34-D34)*24,""))</f>
        <v/>
      </c>
      <c r="G34" s="9"/>
      <c r="H34" s="11" t="str">
        <f aca="false">IF(OR(A34="",B34="",D34="",E34=""),"",IF(E34&lt;=D34,"End before start",IF(COUNTIFS($B$9:$B$208,B34,$D$9:$D$208,"&lt;"&amp;(E34-1/1440),$E$9:$E$208,"&gt;"&amp;(D34+1/1440))&gt;1,"CONFLICT","OK")))</f>
        <v/>
      </c>
      <c r="K34" s="24" t="s">
        <v>25</v>
      </c>
    </row>
    <row r="35" customFormat="false" ht="15" hidden="false" customHeight="false" outlineLevel="0" collapsed="false">
      <c r="A35" s="9"/>
      <c r="B35" s="10"/>
      <c r="C35" s="11" t="str">
        <f aca="false">IF(B35="","",CHOOSE(WEEKDAY(B35),"Sun","Mon","Tue","Wed","Thu","Fri","Sat"))</f>
        <v/>
      </c>
      <c r="D35" s="12"/>
      <c r="E35" s="12"/>
      <c r="F35" s="13" t="str">
        <f aca="false">IF(OR(D35="",E35=""),"",IF(E35&gt;D35,(E35-D35)*24,""))</f>
        <v/>
      </c>
      <c r="G35" s="9"/>
      <c r="H35" s="11" t="str">
        <f aca="false">IF(OR(A35="",B35="",D35="",E35=""),"",IF(E35&lt;=D35,"End before start",IF(COUNTIFS($B$9:$B$208,B35,$D$9:$D$208,"&lt;"&amp;(E35-1/1440),$E$9:$E$208,"&gt;"&amp;(D35+1/1440))&gt;1,"CONFLICT","OK")))</f>
        <v/>
      </c>
    </row>
    <row r="36" customFormat="false" ht="15" hidden="false" customHeight="false" outlineLevel="0" collapsed="false">
      <c r="A36" s="9"/>
      <c r="B36" s="10"/>
      <c r="C36" s="11" t="str">
        <f aca="false">IF(B36="","",CHOOSE(WEEKDAY(B36),"Sun","Mon","Tue","Wed","Thu","Fri","Sat"))</f>
        <v/>
      </c>
      <c r="D36" s="12"/>
      <c r="E36" s="12"/>
      <c r="F36" s="13" t="str">
        <f aca="false">IF(OR(D36="",E36=""),"",IF(E36&gt;D36,(E36-D36)*24,""))</f>
        <v/>
      </c>
      <c r="G36" s="9"/>
      <c r="H36" s="11" t="str">
        <f aca="false">IF(OR(A36="",B36="",D36="",E36=""),"",IF(E36&lt;=D36,"End before start",IF(COUNTIFS($B$9:$B$208,B36,$D$9:$D$208,"&lt;"&amp;(E36-1/1440),$E$9:$E$208,"&gt;"&amp;(D36+1/1440))&gt;1,"CONFLICT","OK")))</f>
        <v/>
      </c>
    </row>
    <row r="37" customFormat="false" ht="15" hidden="false" customHeight="false" outlineLevel="0" collapsed="false">
      <c r="A37" s="9"/>
      <c r="B37" s="10"/>
      <c r="C37" s="11" t="str">
        <f aca="false">IF(B37="","",CHOOSE(WEEKDAY(B37),"Sun","Mon","Tue","Wed","Thu","Fri","Sat"))</f>
        <v/>
      </c>
      <c r="D37" s="12"/>
      <c r="E37" s="12"/>
      <c r="F37" s="13" t="str">
        <f aca="false">IF(OR(D37="",E37=""),"",IF(E37&gt;D37,(E37-D37)*24,""))</f>
        <v/>
      </c>
      <c r="G37" s="9"/>
      <c r="H37" s="11" t="str">
        <f aca="false">IF(OR(A37="",B37="",D37="",E37=""),"",IF(E37&lt;=D37,"End before start",IF(COUNTIFS($B$9:$B$208,B37,$D$9:$D$208,"&lt;"&amp;(E37-1/1440),$E$9:$E$208,"&gt;"&amp;(D37+1/1440))&gt;1,"CONFLICT","OK")))</f>
        <v/>
      </c>
    </row>
    <row r="38" customFormat="false" ht="15" hidden="false" customHeight="false" outlineLevel="0" collapsed="false">
      <c r="A38" s="9"/>
      <c r="B38" s="10"/>
      <c r="C38" s="11" t="str">
        <f aca="false">IF(B38="","",CHOOSE(WEEKDAY(B38),"Sun","Mon","Tue","Wed","Thu","Fri","Sat"))</f>
        <v/>
      </c>
      <c r="D38" s="12"/>
      <c r="E38" s="12"/>
      <c r="F38" s="13" t="str">
        <f aca="false">IF(OR(D38="",E38=""),"",IF(E38&gt;D38,(E38-D38)*24,""))</f>
        <v/>
      </c>
      <c r="G38" s="9"/>
      <c r="H38" s="11" t="str">
        <f aca="false">IF(OR(A38="",B38="",D38="",E38=""),"",IF(E38&lt;=D38,"End before start",IF(COUNTIFS($B$9:$B$208,B38,$D$9:$D$208,"&lt;"&amp;(E38-1/1440),$E$9:$E$208,"&gt;"&amp;(D38+1/1440))&gt;1,"CONFLICT","OK")))</f>
        <v/>
      </c>
    </row>
    <row r="39" customFormat="false" ht="15" hidden="false" customHeight="false" outlineLevel="0" collapsed="false">
      <c r="A39" s="9"/>
      <c r="B39" s="10"/>
      <c r="C39" s="11" t="str">
        <f aca="false">IF(B39="","",CHOOSE(WEEKDAY(B39),"Sun","Mon","Tue","Wed","Thu","Fri","Sat"))</f>
        <v/>
      </c>
      <c r="D39" s="12"/>
      <c r="E39" s="12"/>
      <c r="F39" s="13" t="str">
        <f aca="false">IF(OR(D39="",E39=""),"",IF(E39&gt;D39,(E39-D39)*24,""))</f>
        <v/>
      </c>
      <c r="G39" s="9"/>
      <c r="H39" s="11" t="str">
        <f aca="false">IF(OR(A39="",B39="",D39="",E39=""),"",IF(E39&lt;=D39,"End before start",IF(COUNTIFS($B$9:$B$208,B39,$D$9:$D$208,"&lt;"&amp;(E39-1/1440),$E$9:$E$208,"&gt;"&amp;(D39+1/1440))&gt;1,"CONFLICT","OK")))</f>
        <v/>
      </c>
    </row>
    <row r="40" customFormat="false" ht="15" hidden="false" customHeight="false" outlineLevel="0" collapsed="false">
      <c r="A40" s="9"/>
      <c r="B40" s="10"/>
      <c r="C40" s="11" t="str">
        <f aca="false">IF(B40="","",CHOOSE(WEEKDAY(B40),"Sun","Mon","Tue","Wed","Thu","Fri","Sat"))</f>
        <v/>
      </c>
      <c r="D40" s="12"/>
      <c r="E40" s="12"/>
      <c r="F40" s="13" t="str">
        <f aca="false">IF(OR(D40="",E40=""),"",IF(E40&gt;D40,(E40-D40)*24,""))</f>
        <v/>
      </c>
      <c r="G40" s="9"/>
      <c r="H40" s="11" t="str">
        <f aca="false">IF(OR(A40="",B40="",D40="",E40=""),"",IF(E40&lt;=D40,"End before start",IF(COUNTIFS($B$9:$B$208,B40,$D$9:$D$208,"&lt;"&amp;(E40-1/1440),$E$9:$E$208,"&gt;"&amp;(D40+1/1440))&gt;1,"CONFLICT","OK")))</f>
        <v/>
      </c>
    </row>
    <row r="41" customFormat="false" ht="15" hidden="false" customHeight="false" outlineLevel="0" collapsed="false">
      <c r="A41" s="9"/>
      <c r="B41" s="10"/>
      <c r="C41" s="11" t="str">
        <f aca="false">IF(B41="","",CHOOSE(WEEKDAY(B41),"Sun","Mon","Tue","Wed","Thu","Fri","Sat"))</f>
        <v/>
      </c>
      <c r="D41" s="12"/>
      <c r="E41" s="12"/>
      <c r="F41" s="13" t="str">
        <f aca="false">IF(OR(D41="",E41=""),"",IF(E41&gt;D41,(E41-D41)*24,""))</f>
        <v/>
      </c>
      <c r="G41" s="9"/>
      <c r="H41" s="11" t="str">
        <f aca="false">IF(OR(A41="",B41="",D41="",E41=""),"",IF(E41&lt;=D41,"End before start",IF(COUNTIFS($B$9:$B$208,B41,$D$9:$D$208,"&lt;"&amp;(E41-1/1440),$E$9:$E$208,"&gt;"&amp;(D41+1/1440))&gt;1,"CONFLICT","OK")))</f>
        <v/>
      </c>
    </row>
    <row r="42" customFormat="false" ht="15" hidden="false" customHeight="false" outlineLevel="0" collapsed="false">
      <c r="A42" s="9"/>
      <c r="B42" s="10"/>
      <c r="C42" s="11" t="str">
        <f aca="false">IF(B42="","",CHOOSE(WEEKDAY(B42),"Sun","Mon","Tue","Wed","Thu","Fri","Sat"))</f>
        <v/>
      </c>
      <c r="D42" s="12"/>
      <c r="E42" s="12"/>
      <c r="F42" s="13" t="str">
        <f aca="false">IF(OR(D42="",E42=""),"",IF(E42&gt;D42,(E42-D42)*24,""))</f>
        <v/>
      </c>
      <c r="G42" s="9"/>
      <c r="H42" s="11" t="str">
        <f aca="false">IF(OR(A42="",B42="",D42="",E42=""),"",IF(E42&lt;=D42,"End before start",IF(COUNTIFS($B$9:$B$208,B42,$D$9:$D$208,"&lt;"&amp;(E42-1/1440),$E$9:$E$208,"&gt;"&amp;(D42+1/1440))&gt;1,"CONFLICT","OK")))</f>
        <v/>
      </c>
    </row>
    <row r="43" customFormat="false" ht="15" hidden="false" customHeight="false" outlineLevel="0" collapsed="false">
      <c r="A43" s="9"/>
      <c r="B43" s="10"/>
      <c r="C43" s="11" t="str">
        <f aca="false">IF(B43="","",CHOOSE(WEEKDAY(B43),"Sun","Mon","Tue","Wed","Thu","Fri","Sat"))</f>
        <v/>
      </c>
      <c r="D43" s="12"/>
      <c r="E43" s="12"/>
      <c r="F43" s="13" t="str">
        <f aca="false">IF(OR(D43="",E43=""),"",IF(E43&gt;D43,(E43-D43)*24,""))</f>
        <v/>
      </c>
      <c r="G43" s="9"/>
      <c r="H43" s="11" t="str">
        <f aca="false">IF(OR(A43="",B43="",D43="",E43=""),"",IF(E43&lt;=D43,"End before start",IF(COUNTIFS($B$9:$B$208,B43,$D$9:$D$208,"&lt;"&amp;(E43-1/1440),$E$9:$E$208,"&gt;"&amp;(D43+1/1440))&gt;1,"CONFLICT","OK")))</f>
        <v/>
      </c>
    </row>
    <row r="44" customFormat="false" ht="15" hidden="false" customHeight="false" outlineLevel="0" collapsed="false">
      <c r="A44" s="9"/>
      <c r="B44" s="10"/>
      <c r="C44" s="11" t="str">
        <f aca="false">IF(B44="","",CHOOSE(WEEKDAY(B44),"Sun","Mon","Tue","Wed","Thu","Fri","Sat"))</f>
        <v/>
      </c>
      <c r="D44" s="12"/>
      <c r="E44" s="12"/>
      <c r="F44" s="13" t="str">
        <f aca="false">IF(OR(D44="",E44=""),"",IF(E44&gt;D44,(E44-D44)*24,""))</f>
        <v/>
      </c>
      <c r="G44" s="9"/>
      <c r="H44" s="11" t="str">
        <f aca="false">IF(OR(A44="",B44="",D44="",E44=""),"",IF(E44&lt;=D44,"End before start",IF(COUNTIFS($B$9:$B$208,B44,$D$9:$D$208,"&lt;"&amp;(E44-1/1440),$E$9:$E$208,"&gt;"&amp;(D44+1/1440))&gt;1,"CONFLICT","OK")))</f>
        <v/>
      </c>
    </row>
    <row r="45" customFormat="false" ht="15" hidden="false" customHeight="false" outlineLevel="0" collapsed="false">
      <c r="A45" s="9"/>
      <c r="B45" s="10"/>
      <c r="C45" s="11" t="str">
        <f aca="false">IF(B45="","",CHOOSE(WEEKDAY(B45),"Sun","Mon","Tue","Wed","Thu","Fri","Sat"))</f>
        <v/>
      </c>
      <c r="D45" s="12"/>
      <c r="E45" s="12"/>
      <c r="F45" s="13" t="str">
        <f aca="false">IF(OR(D45="",E45=""),"",IF(E45&gt;D45,(E45-D45)*24,""))</f>
        <v/>
      </c>
      <c r="G45" s="9"/>
      <c r="H45" s="11" t="str">
        <f aca="false">IF(OR(A45="",B45="",D45="",E45=""),"",IF(E45&lt;=D45,"End before start",IF(COUNTIFS($B$9:$B$208,B45,$D$9:$D$208,"&lt;"&amp;(E45-1/1440),$E$9:$E$208,"&gt;"&amp;(D45+1/1440))&gt;1,"CONFLICT","OK")))</f>
        <v/>
      </c>
    </row>
    <row r="46" customFormat="false" ht="15" hidden="false" customHeight="false" outlineLevel="0" collapsed="false">
      <c r="A46" s="9"/>
      <c r="B46" s="10"/>
      <c r="C46" s="11" t="str">
        <f aca="false">IF(B46="","",CHOOSE(WEEKDAY(B46),"Sun","Mon","Tue","Wed","Thu","Fri","Sat"))</f>
        <v/>
      </c>
      <c r="D46" s="12"/>
      <c r="E46" s="12"/>
      <c r="F46" s="13" t="str">
        <f aca="false">IF(OR(D46="",E46=""),"",IF(E46&gt;D46,(E46-D46)*24,""))</f>
        <v/>
      </c>
      <c r="G46" s="9"/>
      <c r="H46" s="11" t="str">
        <f aca="false">IF(OR(A46="",B46="",D46="",E46=""),"",IF(E46&lt;=D46,"End before start",IF(COUNTIFS($B$9:$B$208,B46,$D$9:$D$208,"&lt;"&amp;(E46-1/1440),$E$9:$E$208,"&gt;"&amp;(D46+1/1440))&gt;1,"CONFLICT","OK")))</f>
        <v/>
      </c>
    </row>
    <row r="47" customFormat="false" ht="15" hidden="false" customHeight="false" outlineLevel="0" collapsed="false">
      <c r="A47" s="9"/>
      <c r="B47" s="10"/>
      <c r="C47" s="11" t="str">
        <f aca="false">IF(B47="","",CHOOSE(WEEKDAY(B47),"Sun","Mon","Tue","Wed","Thu","Fri","Sat"))</f>
        <v/>
      </c>
      <c r="D47" s="12"/>
      <c r="E47" s="12"/>
      <c r="F47" s="13" t="str">
        <f aca="false">IF(OR(D47="",E47=""),"",IF(E47&gt;D47,(E47-D47)*24,""))</f>
        <v/>
      </c>
      <c r="G47" s="9"/>
      <c r="H47" s="11" t="str">
        <f aca="false">IF(OR(A47="",B47="",D47="",E47=""),"",IF(E47&lt;=D47,"End before start",IF(COUNTIFS($B$9:$B$208,B47,$D$9:$D$208,"&lt;"&amp;(E47-1/1440),$E$9:$E$208,"&gt;"&amp;(D47+1/1440))&gt;1,"CONFLICT","OK")))</f>
        <v/>
      </c>
    </row>
    <row r="48" customFormat="false" ht="15" hidden="false" customHeight="false" outlineLevel="0" collapsed="false">
      <c r="A48" s="9"/>
      <c r="B48" s="10"/>
      <c r="C48" s="11" t="str">
        <f aca="false">IF(B48="","",CHOOSE(WEEKDAY(B48),"Sun","Mon","Tue","Wed","Thu","Fri","Sat"))</f>
        <v/>
      </c>
      <c r="D48" s="12"/>
      <c r="E48" s="12"/>
      <c r="F48" s="13" t="str">
        <f aca="false">IF(OR(D48="",E48=""),"",IF(E48&gt;D48,(E48-D48)*24,""))</f>
        <v/>
      </c>
      <c r="G48" s="9"/>
      <c r="H48" s="11" t="str">
        <f aca="false">IF(OR(A48="",B48="",D48="",E48=""),"",IF(E48&lt;=D48,"End before start",IF(COUNTIFS($B$9:$B$208,B48,$D$9:$D$208,"&lt;"&amp;(E48-1/1440),$E$9:$E$208,"&gt;"&amp;(D48+1/1440))&gt;1,"CONFLICT","OK")))</f>
        <v/>
      </c>
    </row>
    <row r="49" customFormat="false" ht="15" hidden="false" customHeight="false" outlineLevel="0" collapsed="false">
      <c r="A49" s="9"/>
      <c r="B49" s="10"/>
      <c r="C49" s="11" t="str">
        <f aca="false">IF(B49="","",CHOOSE(WEEKDAY(B49),"Sun","Mon","Tue","Wed","Thu","Fri","Sat"))</f>
        <v/>
      </c>
      <c r="D49" s="12"/>
      <c r="E49" s="12"/>
      <c r="F49" s="13" t="str">
        <f aca="false">IF(OR(D49="",E49=""),"",IF(E49&gt;D49,(E49-D49)*24,""))</f>
        <v/>
      </c>
      <c r="G49" s="9"/>
      <c r="H49" s="11" t="str">
        <f aca="false">IF(OR(A49="",B49="",D49="",E49=""),"",IF(E49&lt;=D49,"End before start",IF(COUNTIFS($B$9:$B$208,B49,$D$9:$D$208,"&lt;"&amp;(E49-1/1440),$E$9:$E$208,"&gt;"&amp;(D49+1/1440))&gt;1,"CONFLICT","OK")))</f>
        <v/>
      </c>
    </row>
    <row r="50" customFormat="false" ht="15" hidden="false" customHeight="false" outlineLevel="0" collapsed="false">
      <c r="A50" s="9"/>
      <c r="B50" s="10"/>
      <c r="C50" s="11" t="str">
        <f aca="false">IF(B50="","",CHOOSE(WEEKDAY(B50),"Sun","Mon","Tue","Wed","Thu","Fri","Sat"))</f>
        <v/>
      </c>
      <c r="D50" s="12"/>
      <c r="E50" s="12"/>
      <c r="F50" s="13" t="str">
        <f aca="false">IF(OR(D50="",E50=""),"",IF(E50&gt;D50,(E50-D50)*24,""))</f>
        <v/>
      </c>
      <c r="G50" s="9"/>
      <c r="H50" s="11" t="str">
        <f aca="false">IF(OR(A50="",B50="",D50="",E50=""),"",IF(E50&lt;=D50,"End before start",IF(COUNTIFS($B$9:$B$208,B50,$D$9:$D$208,"&lt;"&amp;(E50-1/1440),$E$9:$E$208,"&gt;"&amp;(D50+1/1440))&gt;1,"CONFLICT","OK")))</f>
        <v/>
      </c>
    </row>
    <row r="51" customFormat="false" ht="15" hidden="false" customHeight="false" outlineLevel="0" collapsed="false">
      <c r="A51" s="9"/>
      <c r="B51" s="10"/>
      <c r="C51" s="11" t="str">
        <f aca="false">IF(B51="","",CHOOSE(WEEKDAY(B51),"Sun","Mon","Tue","Wed","Thu","Fri","Sat"))</f>
        <v/>
      </c>
      <c r="D51" s="12"/>
      <c r="E51" s="12"/>
      <c r="F51" s="13" t="str">
        <f aca="false">IF(OR(D51="",E51=""),"",IF(E51&gt;D51,(E51-D51)*24,""))</f>
        <v/>
      </c>
      <c r="G51" s="9"/>
      <c r="H51" s="11" t="str">
        <f aca="false">IF(OR(A51="",B51="",D51="",E51=""),"",IF(E51&lt;=D51,"End before start",IF(COUNTIFS($B$9:$B$208,B51,$D$9:$D$208,"&lt;"&amp;(E51-1/1440),$E$9:$E$208,"&gt;"&amp;(D51+1/1440))&gt;1,"CONFLICT","OK")))</f>
        <v/>
      </c>
    </row>
    <row r="52" customFormat="false" ht="15" hidden="false" customHeight="false" outlineLevel="0" collapsed="false">
      <c r="A52" s="9"/>
      <c r="B52" s="10"/>
      <c r="C52" s="11" t="str">
        <f aca="false">IF(B52="","",CHOOSE(WEEKDAY(B52),"Sun","Mon","Tue","Wed","Thu","Fri","Sat"))</f>
        <v/>
      </c>
      <c r="D52" s="12"/>
      <c r="E52" s="12"/>
      <c r="F52" s="13" t="str">
        <f aca="false">IF(OR(D52="",E52=""),"",IF(E52&gt;D52,(E52-D52)*24,""))</f>
        <v/>
      </c>
      <c r="G52" s="9"/>
      <c r="H52" s="11" t="str">
        <f aca="false">IF(OR(A52="",B52="",D52="",E52=""),"",IF(E52&lt;=D52,"End before start",IF(COUNTIFS($B$9:$B$208,B52,$D$9:$D$208,"&lt;"&amp;(E52-1/1440),$E$9:$E$208,"&gt;"&amp;(D52+1/1440))&gt;1,"CONFLICT","OK")))</f>
        <v/>
      </c>
    </row>
    <row r="53" customFormat="false" ht="15" hidden="false" customHeight="false" outlineLevel="0" collapsed="false">
      <c r="A53" s="9"/>
      <c r="B53" s="10"/>
      <c r="C53" s="11" t="str">
        <f aca="false">IF(B53="","",CHOOSE(WEEKDAY(B53),"Sun","Mon","Tue","Wed","Thu","Fri","Sat"))</f>
        <v/>
      </c>
      <c r="D53" s="12"/>
      <c r="E53" s="12"/>
      <c r="F53" s="13" t="str">
        <f aca="false">IF(OR(D53="",E53=""),"",IF(E53&gt;D53,(E53-D53)*24,""))</f>
        <v/>
      </c>
      <c r="G53" s="9"/>
      <c r="H53" s="11" t="str">
        <f aca="false">IF(OR(A53="",B53="",D53="",E53=""),"",IF(E53&lt;=D53,"End before start",IF(COUNTIFS($B$9:$B$208,B53,$D$9:$D$208,"&lt;"&amp;(E53-1/1440),$E$9:$E$208,"&gt;"&amp;(D53+1/1440))&gt;1,"CONFLICT","OK")))</f>
        <v/>
      </c>
    </row>
    <row r="54" customFormat="false" ht="15" hidden="false" customHeight="false" outlineLevel="0" collapsed="false">
      <c r="A54" s="9"/>
      <c r="B54" s="10"/>
      <c r="C54" s="11" t="str">
        <f aca="false">IF(B54="","",CHOOSE(WEEKDAY(B54),"Sun","Mon","Tue","Wed","Thu","Fri","Sat"))</f>
        <v/>
      </c>
      <c r="D54" s="12"/>
      <c r="E54" s="12"/>
      <c r="F54" s="13" t="str">
        <f aca="false">IF(OR(D54="",E54=""),"",IF(E54&gt;D54,(E54-D54)*24,""))</f>
        <v/>
      </c>
      <c r="G54" s="9"/>
      <c r="H54" s="11" t="str">
        <f aca="false">IF(OR(A54="",B54="",D54="",E54=""),"",IF(E54&lt;=D54,"End before start",IF(COUNTIFS($B$9:$B$208,B54,$D$9:$D$208,"&lt;"&amp;(E54-1/1440),$E$9:$E$208,"&gt;"&amp;(D54+1/1440))&gt;1,"CONFLICT","OK")))</f>
        <v/>
      </c>
    </row>
    <row r="55" customFormat="false" ht="15" hidden="false" customHeight="false" outlineLevel="0" collapsed="false">
      <c r="A55" s="9"/>
      <c r="B55" s="10"/>
      <c r="C55" s="11" t="str">
        <f aca="false">IF(B55="","",CHOOSE(WEEKDAY(B55),"Sun","Mon","Tue","Wed","Thu","Fri","Sat"))</f>
        <v/>
      </c>
      <c r="D55" s="12"/>
      <c r="E55" s="12"/>
      <c r="F55" s="13" t="str">
        <f aca="false">IF(OR(D55="",E55=""),"",IF(E55&gt;D55,(E55-D55)*24,""))</f>
        <v/>
      </c>
      <c r="G55" s="9"/>
      <c r="H55" s="11" t="str">
        <f aca="false">IF(OR(A55="",B55="",D55="",E55=""),"",IF(E55&lt;=D55,"End before start",IF(COUNTIFS($B$9:$B$208,B55,$D$9:$D$208,"&lt;"&amp;(E55-1/1440),$E$9:$E$208,"&gt;"&amp;(D55+1/1440))&gt;1,"CONFLICT","OK")))</f>
        <v/>
      </c>
    </row>
    <row r="56" customFormat="false" ht="15" hidden="false" customHeight="false" outlineLevel="0" collapsed="false">
      <c r="A56" s="9"/>
      <c r="B56" s="10"/>
      <c r="C56" s="11" t="str">
        <f aca="false">IF(B56="","",CHOOSE(WEEKDAY(B56),"Sun","Mon","Tue","Wed","Thu","Fri","Sat"))</f>
        <v/>
      </c>
      <c r="D56" s="12"/>
      <c r="E56" s="12"/>
      <c r="F56" s="13" t="str">
        <f aca="false">IF(OR(D56="",E56=""),"",IF(E56&gt;D56,(E56-D56)*24,""))</f>
        <v/>
      </c>
      <c r="G56" s="9"/>
      <c r="H56" s="11" t="str">
        <f aca="false">IF(OR(A56="",B56="",D56="",E56=""),"",IF(E56&lt;=D56,"End before start",IF(COUNTIFS($B$9:$B$208,B56,$D$9:$D$208,"&lt;"&amp;(E56-1/1440),$E$9:$E$208,"&gt;"&amp;(D56+1/1440))&gt;1,"CONFLICT","OK")))</f>
        <v/>
      </c>
    </row>
    <row r="57" customFormat="false" ht="15" hidden="false" customHeight="false" outlineLevel="0" collapsed="false">
      <c r="A57" s="9"/>
      <c r="B57" s="10"/>
      <c r="C57" s="11" t="str">
        <f aca="false">IF(B57="","",CHOOSE(WEEKDAY(B57),"Sun","Mon","Tue","Wed","Thu","Fri","Sat"))</f>
        <v/>
      </c>
      <c r="D57" s="12"/>
      <c r="E57" s="12"/>
      <c r="F57" s="13" t="str">
        <f aca="false">IF(OR(D57="",E57=""),"",IF(E57&gt;D57,(E57-D57)*24,""))</f>
        <v/>
      </c>
      <c r="G57" s="9"/>
      <c r="H57" s="11" t="str">
        <f aca="false">IF(OR(A57="",B57="",D57="",E57=""),"",IF(E57&lt;=D57,"End before start",IF(COUNTIFS($B$9:$B$208,B57,$D$9:$D$208,"&lt;"&amp;(E57-1/1440),$E$9:$E$208,"&gt;"&amp;(D57+1/1440))&gt;1,"CONFLICT","OK")))</f>
        <v/>
      </c>
    </row>
    <row r="58" customFormat="false" ht="15" hidden="false" customHeight="false" outlineLevel="0" collapsed="false">
      <c r="A58" s="9"/>
      <c r="B58" s="10"/>
      <c r="C58" s="11" t="str">
        <f aca="false">IF(B58="","",CHOOSE(WEEKDAY(B58),"Sun","Mon","Tue","Wed","Thu","Fri","Sat"))</f>
        <v/>
      </c>
      <c r="D58" s="12"/>
      <c r="E58" s="12"/>
      <c r="F58" s="13" t="str">
        <f aca="false">IF(OR(D58="",E58=""),"",IF(E58&gt;D58,(E58-D58)*24,""))</f>
        <v/>
      </c>
      <c r="G58" s="9"/>
      <c r="H58" s="11" t="str">
        <f aca="false">IF(OR(A58="",B58="",D58="",E58=""),"",IF(E58&lt;=D58,"End before start",IF(COUNTIFS($B$9:$B$208,B58,$D$9:$D$208,"&lt;"&amp;(E58-1/1440),$E$9:$E$208,"&gt;"&amp;(D58+1/1440))&gt;1,"CONFLICT","OK")))</f>
        <v/>
      </c>
    </row>
    <row r="59" customFormat="false" ht="15" hidden="false" customHeight="false" outlineLevel="0" collapsed="false">
      <c r="A59" s="9"/>
      <c r="B59" s="10"/>
      <c r="C59" s="11" t="str">
        <f aca="false">IF(B59="","",CHOOSE(WEEKDAY(B59),"Sun","Mon","Tue","Wed","Thu","Fri","Sat"))</f>
        <v/>
      </c>
      <c r="D59" s="12"/>
      <c r="E59" s="12"/>
      <c r="F59" s="13" t="str">
        <f aca="false">IF(OR(D59="",E59=""),"",IF(E59&gt;D59,(E59-D59)*24,""))</f>
        <v/>
      </c>
      <c r="G59" s="9"/>
      <c r="H59" s="11" t="str">
        <f aca="false">IF(OR(A59="",B59="",D59="",E59=""),"",IF(E59&lt;=D59,"End before start",IF(COUNTIFS($B$9:$B$208,B59,$D$9:$D$208,"&lt;"&amp;(E59-1/1440),$E$9:$E$208,"&gt;"&amp;(D59+1/1440))&gt;1,"CONFLICT","OK")))</f>
        <v/>
      </c>
    </row>
    <row r="60" customFormat="false" ht="15" hidden="false" customHeight="false" outlineLevel="0" collapsed="false">
      <c r="A60" s="9"/>
      <c r="B60" s="10"/>
      <c r="C60" s="11" t="str">
        <f aca="false">IF(B60="","",CHOOSE(WEEKDAY(B60),"Sun","Mon","Tue","Wed","Thu","Fri","Sat"))</f>
        <v/>
      </c>
      <c r="D60" s="12"/>
      <c r="E60" s="12"/>
      <c r="F60" s="13" t="str">
        <f aca="false">IF(OR(D60="",E60=""),"",IF(E60&gt;D60,(E60-D60)*24,""))</f>
        <v/>
      </c>
      <c r="G60" s="9"/>
      <c r="H60" s="11" t="str">
        <f aca="false">IF(OR(A60="",B60="",D60="",E60=""),"",IF(E60&lt;=D60,"End before start",IF(COUNTIFS($B$9:$B$208,B60,$D$9:$D$208,"&lt;"&amp;(E60-1/1440),$E$9:$E$208,"&gt;"&amp;(D60+1/1440))&gt;1,"CONFLICT","OK")))</f>
        <v/>
      </c>
    </row>
    <row r="61" customFormat="false" ht="15" hidden="false" customHeight="false" outlineLevel="0" collapsed="false">
      <c r="A61" s="9"/>
      <c r="B61" s="10"/>
      <c r="C61" s="11" t="str">
        <f aca="false">IF(B61="","",CHOOSE(WEEKDAY(B61),"Sun","Mon","Tue","Wed","Thu","Fri","Sat"))</f>
        <v/>
      </c>
      <c r="D61" s="12"/>
      <c r="E61" s="12"/>
      <c r="F61" s="13" t="str">
        <f aca="false">IF(OR(D61="",E61=""),"",IF(E61&gt;D61,(E61-D61)*24,""))</f>
        <v/>
      </c>
      <c r="G61" s="9"/>
      <c r="H61" s="11" t="str">
        <f aca="false">IF(OR(A61="",B61="",D61="",E61=""),"",IF(E61&lt;=D61,"End before start",IF(COUNTIFS($B$9:$B$208,B61,$D$9:$D$208,"&lt;"&amp;(E61-1/1440),$E$9:$E$208,"&gt;"&amp;(D61+1/1440))&gt;1,"CONFLICT","OK")))</f>
        <v/>
      </c>
    </row>
    <row r="62" customFormat="false" ht="15" hidden="false" customHeight="false" outlineLevel="0" collapsed="false">
      <c r="A62" s="9"/>
      <c r="B62" s="10"/>
      <c r="C62" s="11" t="str">
        <f aca="false">IF(B62="","",CHOOSE(WEEKDAY(B62),"Sun","Mon","Tue","Wed","Thu","Fri","Sat"))</f>
        <v/>
      </c>
      <c r="D62" s="12"/>
      <c r="E62" s="12"/>
      <c r="F62" s="13" t="str">
        <f aca="false">IF(OR(D62="",E62=""),"",IF(E62&gt;D62,(E62-D62)*24,""))</f>
        <v/>
      </c>
      <c r="G62" s="9"/>
      <c r="H62" s="11" t="str">
        <f aca="false">IF(OR(A62="",B62="",D62="",E62=""),"",IF(E62&lt;=D62,"End before start",IF(COUNTIFS($B$9:$B$208,B62,$D$9:$D$208,"&lt;"&amp;(E62-1/1440),$E$9:$E$208,"&gt;"&amp;(D62+1/1440))&gt;1,"CONFLICT","OK")))</f>
        <v/>
      </c>
    </row>
    <row r="63" customFormat="false" ht="15" hidden="false" customHeight="false" outlineLevel="0" collapsed="false">
      <c r="A63" s="9"/>
      <c r="B63" s="10"/>
      <c r="C63" s="11" t="str">
        <f aca="false">IF(B63="","",CHOOSE(WEEKDAY(B63),"Sun","Mon","Tue","Wed","Thu","Fri","Sat"))</f>
        <v/>
      </c>
      <c r="D63" s="12"/>
      <c r="E63" s="12"/>
      <c r="F63" s="13" t="str">
        <f aca="false">IF(OR(D63="",E63=""),"",IF(E63&gt;D63,(E63-D63)*24,""))</f>
        <v/>
      </c>
      <c r="G63" s="9"/>
      <c r="H63" s="11" t="str">
        <f aca="false">IF(OR(A63="",B63="",D63="",E63=""),"",IF(E63&lt;=D63,"End before start",IF(COUNTIFS($B$9:$B$208,B63,$D$9:$D$208,"&lt;"&amp;(E63-1/1440),$E$9:$E$208,"&gt;"&amp;(D63+1/1440))&gt;1,"CONFLICT","OK")))</f>
        <v/>
      </c>
    </row>
    <row r="64" customFormat="false" ht="15" hidden="false" customHeight="false" outlineLevel="0" collapsed="false">
      <c r="A64" s="9"/>
      <c r="B64" s="10"/>
      <c r="C64" s="11" t="str">
        <f aca="false">IF(B64="","",CHOOSE(WEEKDAY(B64),"Sun","Mon","Tue","Wed","Thu","Fri","Sat"))</f>
        <v/>
      </c>
      <c r="D64" s="12"/>
      <c r="E64" s="12"/>
      <c r="F64" s="13" t="str">
        <f aca="false">IF(OR(D64="",E64=""),"",IF(E64&gt;D64,(E64-D64)*24,""))</f>
        <v/>
      </c>
      <c r="G64" s="9"/>
      <c r="H64" s="11" t="str">
        <f aca="false">IF(OR(A64="",B64="",D64="",E64=""),"",IF(E64&lt;=D64,"End before start",IF(COUNTIFS($B$9:$B$208,B64,$D$9:$D$208,"&lt;"&amp;(E64-1/1440),$E$9:$E$208,"&gt;"&amp;(D64+1/1440))&gt;1,"CONFLICT","OK")))</f>
        <v/>
      </c>
    </row>
    <row r="65" customFormat="false" ht="15" hidden="false" customHeight="false" outlineLevel="0" collapsed="false">
      <c r="A65" s="9"/>
      <c r="B65" s="10"/>
      <c r="C65" s="11" t="str">
        <f aca="false">IF(B65="","",CHOOSE(WEEKDAY(B65),"Sun","Mon","Tue","Wed","Thu","Fri","Sat"))</f>
        <v/>
      </c>
      <c r="D65" s="12"/>
      <c r="E65" s="12"/>
      <c r="F65" s="13" t="str">
        <f aca="false">IF(OR(D65="",E65=""),"",IF(E65&gt;D65,(E65-D65)*24,""))</f>
        <v/>
      </c>
      <c r="G65" s="9"/>
      <c r="H65" s="11" t="str">
        <f aca="false">IF(OR(A65="",B65="",D65="",E65=""),"",IF(E65&lt;=D65,"End before start",IF(COUNTIFS($B$9:$B$208,B65,$D$9:$D$208,"&lt;"&amp;(E65-1/1440),$E$9:$E$208,"&gt;"&amp;(D65+1/1440))&gt;1,"CONFLICT","OK")))</f>
        <v/>
      </c>
    </row>
    <row r="66" customFormat="false" ht="15" hidden="false" customHeight="false" outlineLevel="0" collapsed="false">
      <c r="A66" s="9"/>
      <c r="B66" s="10"/>
      <c r="C66" s="11" t="str">
        <f aca="false">IF(B66="","",CHOOSE(WEEKDAY(B66),"Sun","Mon","Tue","Wed","Thu","Fri","Sat"))</f>
        <v/>
      </c>
      <c r="D66" s="12"/>
      <c r="E66" s="12"/>
      <c r="F66" s="13" t="str">
        <f aca="false">IF(OR(D66="",E66=""),"",IF(E66&gt;D66,(E66-D66)*24,""))</f>
        <v/>
      </c>
      <c r="G66" s="9"/>
      <c r="H66" s="11" t="str">
        <f aca="false">IF(OR(A66="",B66="",D66="",E66=""),"",IF(E66&lt;=D66,"End before start",IF(COUNTIFS($B$9:$B$208,B66,$D$9:$D$208,"&lt;"&amp;(E66-1/1440),$E$9:$E$208,"&gt;"&amp;(D66+1/1440))&gt;1,"CONFLICT","OK")))</f>
        <v/>
      </c>
    </row>
    <row r="67" customFormat="false" ht="15" hidden="false" customHeight="false" outlineLevel="0" collapsed="false">
      <c r="A67" s="9"/>
      <c r="B67" s="10"/>
      <c r="C67" s="11" t="str">
        <f aca="false">IF(B67="","",CHOOSE(WEEKDAY(B67),"Sun","Mon","Tue","Wed","Thu","Fri","Sat"))</f>
        <v/>
      </c>
      <c r="D67" s="12"/>
      <c r="E67" s="12"/>
      <c r="F67" s="13" t="str">
        <f aca="false">IF(OR(D67="",E67=""),"",IF(E67&gt;D67,(E67-D67)*24,""))</f>
        <v/>
      </c>
      <c r="G67" s="9"/>
      <c r="H67" s="11" t="str">
        <f aca="false">IF(OR(A67="",B67="",D67="",E67=""),"",IF(E67&lt;=D67,"End before start",IF(COUNTIFS($B$9:$B$208,B67,$D$9:$D$208,"&lt;"&amp;(E67-1/1440),$E$9:$E$208,"&gt;"&amp;(D67+1/1440))&gt;1,"CONFLICT","OK")))</f>
        <v/>
      </c>
    </row>
    <row r="68" customFormat="false" ht="15" hidden="false" customHeight="false" outlineLevel="0" collapsed="false">
      <c r="A68" s="9"/>
      <c r="B68" s="10"/>
      <c r="C68" s="11" t="str">
        <f aca="false">IF(B68="","",CHOOSE(WEEKDAY(B68),"Sun","Mon","Tue","Wed","Thu","Fri","Sat"))</f>
        <v/>
      </c>
      <c r="D68" s="12"/>
      <c r="E68" s="12"/>
      <c r="F68" s="13" t="str">
        <f aca="false">IF(OR(D68="",E68=""),"",IF(E68&gt;D68,(E68-D68)*24,""))</f>
        <v/>
      </c>
      <c r="G68" s="9"/>
      <c r="H68" s="11" t="str">
        <f aca="false">IF(OR(A68="",B68="",D68="",E68=""),"",IF(E68&lt;=D68,"End before start",IF(COUNTIFS($B$9:$B$208,B68,$D$9:$D$208,"&lt;"&amp;(E68-1/1440),$E$9:$E$208,"&gt;"&amp;(D68+1/1440))&gt;1,"CONFLICT","OK")))</f>
        <v/>
      </c>
    </row>
    <row r="69" customFormat="false" ht="15" hidden="false" customHeight="false" outlineLevel="0" collapsed="false">
      <c r="A69" s="9"/>
      <c r="B69" s="10"/>
      <c r="C69" s="11" t="str">
        <f aca="false">IF(B69="","",CHOOSE(WEEKDAY(B69),"Sun","Mon","Tue","Wed","Thu","Fri","Sat"))</f>
        <v/>
      </c>
      <c r="D69" s="12"/>
      <c r="E69" s="12"/>
      <c r="F69" s="13" t="str">
        <f aca="false">IF(OR(D69="",E69=""),"",IF(E69&gt;D69,(E69-D69)*24,""))</f>
        <v/>
      </c>
      <c r="G69" s="9"/>
      <c r="H69" s="11" t="str">
        <f aca="false">IF(OR(A69="",B69="",D69="",E69=""),"",IF(E69&lt;=D69,"End before start",IF(COUNTIFS($B$9:$B$208,B69,$D$9:$D$208,"&lt;"&amp;(E69-1/1440),$E$9:$E$208,"&gt;"&amp;(D69+1/1440))&gt;1,"CONFLICT","OK")))</f>
        <v/>
      </c>
    </row>
    <row r="70" customFormat="false" ht="15" hidden="false" customHeight="false" outlineLevel="0" collapsed="false">
      <c r="A70" s="9"/>
      <c r="B70" s="10"/>
      <c r="C70" s="11" t="str">
        <f aca="false">IF(B70="","",CHOOSE(WEEKDAY(B70),"Sun","Mon","Tue","Wed","Thu","Fri","Sat"))</f>
        <v/>
      </c>
      <c r="D70" s="12"/>
      <c r="E70" s="12"/>
      <c r="F70" s="13" t="str">
        <f aca="false">IF(OR(D70="",E70=""),"",IF(E70&gt;D70,(E70-D70)*24,""))</f>
        <v/>
      </c>
      <c r="G70" s="9"/>
      <c r="H70" s="11" t="str">
        <f aca="false">IF(OR(A70="",B70="",D70="",E70=""),"",IF(E70&lt;=D70,"End before start",IF(COUNTIFS($B$9:$B$208,B70,$D$9:$D$208,"&lt;"&amp;(E70-1/1440),$E$9:$E$208,"&gt;"&amp;(D70+1/1440))&gt;1,"CONFLICT","OK")))</f>
        <v/>
      </c>
    </row>
    <row r="71" customFormat="false" ht="15" hidden="false" customHeight="false" outlineLevel="0" collapsed="false">
      <c r="A71" s="9"/>
      <c r="B71" s="10"/>
      <c r="C71" s="11" t="str">
        <f aca="false">IF(B71="","",CHOOSE(WEEKDAY(B71),"Sun","Mon","Tue","Wed","Thu","Fri","Sat"))</f>
        <v/>
      </c>
      <c r="D71" s="12"/>
      <c r="E71" s="12"/>
      <c r="F71" s="13" t="str">
        <f aca="false">IF(OR(D71="",E71=""),"",IF(E71&gt;D71,(E71-D71)*24,""))</f>
        <v/>
      </c>
      <c r="G71" s="9"/>
      <c r="H71" s="11" t="str">
        <f aca="false">IF(OR(A71="",B71="",D71="",E71=""),"",IF(E71&lt;=D71,"End before start",IF(COUNTIFS($B$9:$B$208,B71,$D$9:$D$208,"&lt;"&amp;(E71-1/1440),$E$9:$E$208,"&gt;"&amp;(D71+1/1440))&gt;1,"CONFLICT","OK")))</f>
        <v/>
      </c>
    </row>
    <row r="72" customFormat="false" ht="15" hidden="false" customHeight="false" outlineLevel="0" collapsed="false">
      <c r="A72" s="9"/>
      <c r="B72" s="10"/>
      <c r="C72" s="11" t="str">
        <f aca="false">IF(B72="","",CHOOSE(WEEKDAY(B72),"Sun","Mon","Tue","Wed","Thu","Fri","Sat"))</f>
        <v/>
      </c>
      <c r="D72" s="12"/>
      <c r="E72" s="12"/>
      <c r="F72" s="13" t="str">
        <f aca="false">IF(OR(D72="",E72=""),"",IF(E72&gt;D72,(E72-D72)*24,""))</f>
        <v/>
      </c>
      <c r="G72" s="9"/>
      <c r="H72" s="11" t="str">
        <f aca="false">IF(OR(A72="",B72="",D72="",E72=""),"",IF(E72&lt;=D72,"End before start",IF(COUNTIFS($B$9:$B$208,B72,$D$9:$D$208,"&lt;"&amp;(E72-1/1440),$E$9:$E$208,"&gt;"&amp;(D72+1/1440))&gt;1,"CONFLICT","OK")))</f>
        <v/>
      </c>
    </row>
    <row r="73" customFormat="false" ht="15" hidden="false" customHeight="false" outlineLevel="0" collapsed="false">
      <c r="A73" s="9"/>
      <c r="B73" s="10"/>
      <c r="C73" s="11" t="str">
        <f aca="false">IF(B73="","",CHOOSE(WEEKDAY(B73),"Sun","Mon","Tue","Wed","Thu","Fri","Sat"))</f>
        <v/>
      </c>
      <c r="D73" s="12"/>
      <c r="E73" s="12"/>
      <c r="F73" s="13" t="str">
        <f aca="false">IF(OR(D73="",E73=""),"",IF(E73&gt;D73,(E73-D73)*24,""))</f>
        <v/>
      </c>
      <c r="G73" s="9"/>
      <c r="H73" s="11" t="str">
        <f aca="false">IF(OR(A73="",B73="",D73="",E73=""),"",IF(E73&lt;=D73,"End before start",IF(COUNTIFS($B$9:$B$208,B73,$D$9:$D$208,"&lt;"&amp;(E73-1/1440),$E$9:$E$208,"&gt;"&amp;(D73+1/1440))&gt;1,"CONFLICT","OK")))</f>
        <v/>
      </c>
    </row>
    <row r="74" customFormat="false" ht="15" hidden="false" customHeight="false" outlineLevel="0" collapsed="false">
      <c r="A74" s="9"/>
      <c r="B74" s="10"/>
      <c r="C74" s="11" t="str">
        <f aca="false">IF(B74="","",CHOOSE(WEEKDAY(B74),"Sun","Mon","Tue","Wed","Thu","Fri","Sat"))</f>
        <v/>
      </c>
      <c r="D74" s="12"/>
      <c r="E74" s="12"/>
      <c r="F74" s="13" t="str">
        <f aca="false">IF(OR(D74="",E74=""),"",IF(E74&gt;D74,(E74-D74)*24,""))</f>
        <v/>
      </c>
      <c r="G74" s="9"/>
      <c r="H74" s="11" t="str">
        <f aca="false">IF(OR(A74="",B74="",D74="",E74=""),"",IF(E74&lt;=D74,"End before start",IF(COUNTIFS($B$9:$B$208,B74,$D$9:$D$208,"&lt;"&amp;(E74-1/1440),$E$9:$E$208,"&gt;"&amp;(D74+1/1440))&gt;1,"CONFLICT","OK")))</f>
        <v/>
      </c>
    </row>
    <row r="75" customFormat="false" ht="15" hidden="false" customHeight="false" outlineLevel="0" collapsed="false">
      <c r="A75" s="9"/>
      <c r="B75" s="10"/>
      <c r="C75" s="11" t="str">
        <f aca="false">IF(B75="","",CHOOSE(WEEKDAY(B75),"Sun","Mon","Tue","Wed","Thu","Fri","Sat"))</f>
        <v/>
      </c>
      <c r="D75" s="12"/>
      <c r="E75" s="12"/>
      <c r="F75" s="13" t="str">
        <f aca="false">IF(OR(D75="",E75=""),"",IF(E75&gt;D75,(E75-D75)*24,""))</f>
        <v/>
      </c>
      <c r="G75" s="9"/>
      <c r="H75" s="11" t="str">
        <f aca="false">IF(OR(A75="",B75="",D75="",E75=""),"",IF(E75&lt;=D75,"End before start",IF(COUNTIFS($B$9:$B$208,B75,$D$9:$D$208,"&lt;"&amp;(E75-1/1440),$E$9:$E$208,"&gt;"&amp;(D75+1/1440))&gt;1,"CONFLICT","OK")))</f>
        <v/>
      </c>
    </row>
    <row r="76" customFormat="false" ht="15" hidden="false" customHeight="false" outlineLevel="0" collapsed="false">
      <c r="A76" s="9"/>
      <c r="B76" s="10"/>
      <c r="C76" s="11" t="str">
        <f aca="false">IF(B76="","",CHOOSE(WEEKDAY(B76),"Sun","Mon","Tue","Wed","Thu","Fri","Sat"))</f>
        <v/>
      </c>
      <c r="D76" s="12"/>
      <c r="E76" s="12"/>
      <c r="F76" s="13" t="str">
        <f aca="false">IF(OR(D76="",E76=""),"",IF(E76&gt;D76,(E76-D76)*24,""))</f>
        <v/>
      </c>
      <c r="G76" s="9"/>
      <c r="H76" s="11" t="str">
        <f aca="false">IF(OR(A76="",B76="",D76="",E76=""),"",IF(E76&lt;=D76,"End before start",IF(COUNTIFS($B$9:$B$208,B76,$D$9:$D$208,"&lt;"&amp;(E76-1/1440),$E$9:$E$208,"&gt;"&amp;(D76+1/1440))&gt;1,"CONFLICT","OK")))</f>
        <v/>
      </c>
    </row>
    <row r="77" customFormat="false" ht="15" hidden="false" customHeight="false" outlineLevel="0" collapsed="false">
      <c r="A77" s="9"/>
      <c r="B77" s="10"/>
      <c r="C77" s="11" t="str">
        <f aca="false">IF(B77="","",CHOOSE(WEEKDAY(B77),"Sun","Mon","Tue","Wed","Thu","Fri","Sat"))</f>
        <v/>
      </c>
      <c r="D77" s="12"/>
      <c r="E77" s="12"/>
      <c r="F77" s="13" t="str">
        <f aca="false">IF(OR(D77="",E77=""),"",IF(E77&gt;D77,(E77-D77)*24,""))</f>
        <v/>
      </c>
      <c r="G77" s="9"/>
      <c r="H77" s="11" t="str">
        <f aca="false">IF(OR(A77="",B77="",D77="",E77=""),"",IF(E77&lt;=D77,"End before start",IF(COUNTIFS($B$9:$B$208,B77,$D$9:$D$208,"&lt;"&amp;(E77-1/1440),$E$9:$E$208,"&gt;"&amp;(D77+1/1440))&gt;1,"CONFLICT","OK")))</f>
        <v/>
      </c>
    </row>
    <row r="78" customFormat="false" ht="15" hidden="false" customHeight="false" outlineLevel="0" collapsed="false">
      <c r="A78" s="9"/>
      <c r="B78" s="10"/>
      <c r="C78" s="11" t="str">
        <f aca="false">IF(B78="","",CHOOSE(WEEKDAY(B78),"Sun","Mon","Tue","Wed","Thu","Fri","Sat"))</f>
        <v/>
      </c>
      <c r="D78" s="12"/>
      <c r="E78" s="12"/>
      <c r="F78" s="13" t="str">
        <f aca="false">IF(OR(D78="",E78=""),"",IF(E78&gt;D78,(E78-D78)*24,""))</f>
        <v/>
      </c>
      <c r="G78" s="9"/>
      <c r="H78" s="11" t="str">
        <f aca="false">IF(OR(A78="",B78="",D78="",E78=""),"",IF(E78&lt;=D78,"End before start",IF(COUNTIFS($B$9:$B$208,B78,$D$9:$D$208,"&lt;"&amp;(E78-1/1440),$E$9:$E$208,"&gt;"&amp;(D78+1/1440))&gt;1,"CONFLICT","OK")))</f>
        <v/>
      </c>
    </row>
    <row r="79" customFormat="false" ht="15" hidden="false" customHeight="false" outlineLevel="0" collapsed="false">
      <c r="A79" s="9"/>
      <c r="B79" s="10"/>
      <c r="C79" s="11" t="str">
        <f aca="false">IF(B79="","",CHOOSE(WEEKDAY(B79),"Sun","Mon","Tue","Wed","Thu","Fri","Sat"))</f>
        <v/>
      </c>
      <c r="D79" s="12"/>
      <c r="E79" s="12"/>
      <c r="F79" s="13" t="str">
        <f aca="false">IF(OR(D79="",E79=""),"",IF(E79&gt;D79,(E79-D79)*24,""))</f>
        <v/>
      </c>
      <c r="G79" s="9"/>
      <c r="H79" s="11" t="str">
        <f aca="false">IF(OR(A79="",B79="",D79="",E79=""),"",IF(E79&lt;=D79,"End before start",IF(COUNTIFS($B$9:$B$208,B79,$D$9:$D$208,"&lt;"&amp;(E79-1/1440),$E$9:$E$208,"&gt;"&amp;(D79+1/1440))&gt;1,"CONFLICT","OK")))</f>
        <v/>
      </c>
    </row>
    <row r="80" customFormat="false" ht="15" hidden="false" customHeight="false" outlineLevel="0" collapsed="false">
      <c r="A80" s="9"/>
      <c r="B80" s="10"/>
      <c r="C80" s="11" t="str">
        <f aca="false">IF(B80="","",CHOOSE(WEEKDAY(B80),"Sun","Mon","Tue","Wed","Thu","Fri","Sat"))</f>
        <v/>
      </c>
      <c r="D80" s="12"/>
      <c r="E80" s="12"/>
      <c r="F80" s="13" t="str">
        <f aca="false">IF(OR(D80="",E80=""),"",IF(E80&gt;D80,(E80-D80)*24,""))</f>
        <v/>
      </c>
      <c r="G80" s="9"/>
      <c r="H80" s="11" t="str">
        <f aca="false">IF(OR(A80="",B80="",D80="",E80=""),"",IF(E80&lt;=D80,"End before start",IF(COUNTIFS($B$9:$B$208,B80,$D$9:$D$208,"&lt;"&amp;(E80-1/1440),$E$9:$E$208,"&gt;"&amp;(D80+1/1440))&gt;1,"CONFLICT","OK")))</f>
        <v/>
      </c>
    </row>
    <row r="81" customFormat="false" ht="15" hidden="false" customHeight="false" outlineLevel="0" collapsed="false">
      <c r="A81" s="9"/>
      <c r="B81" s="10"/>
      <c r="C81" s="11" t="str">
        <f aca="false">IF(B81="","",CHOOSE(WEEKDAY(B81),"Sun","Mon","Tue","Wed","Thu","Fri","Sat"))</f>
        <v/>
      </c>
      <c r="D81" s="12"/>
      <c r="E81" s="12"/>
      <c r="F81" s="13" t="str">
        <f aca="false">IF(OR(D81="",E81=""),"",IF(E81&gt;D81,(E81-D81)*24,""))</f>
        <v/>
      </c>
      <c r="G81" s="9"/>
      <c r="H81" s="11" t="str">
        <f aca="false">IF(OR(A81="",B81="",D81="",E81=""),"",IF(E81&lt;=D81,"End before start",IF(COUNTIFS($B$9:$B$208,B81,$D$9:$D$208,"&lt;"&amp;(E81-1/1440),$E$9:$E$208,"&gt;"&amp;(D81+1/1440))&gt;1,"CONFLICT","OK")))</f>
        <v/>
      </c>
    </row>
    <row r="82" customFormat="false" ht="15" hidden="false" customHeight="false" outlineLevel="0" collapsed="false">
      <c r="A82" s="9"/>
      <c r="B82" s="10"/>
      <c r="C82" s="11" t="str">
        <f aca="false">IF(B82="","",CHOOSE(WEEKDAY(B82),"Sun","Mon","Tue","Wed","Thu","Fri","Sat"))</f>
        <v/>
      </c>
      <c r="D82" s="12"/>
      <c r="E82" s="12"/>
      <c r="F82" s="13" t="str">
        <f aca="false">IF(OR(D82="",E82=""),"",IF(E82&gt;D82,(E82-D82)*24,""))</f>
        <v/>
      </c>
      <c r="G82" s="9"/>
      <c r="H82" s="11" t="str">
        <f aca="false">IF(OR(A82="",B82="",D82="",E82=""),"",IF(E82&lt;=D82,"End before start",IF(COUNTIFS($B$9:$B$208,B82,$D$9:$D$208,"&lt;"&amp;(E82-1/1440),$E$9:$E$208,"&gt;"&amp;(D82+1/1440))&gt;1,"CONFLICT","OK")))</f>
        <v/>
      </c>
    </row>
    <row r="83" customFormat="false" ht="15" hidden="false" customHeight="false" outlineLevel="0" collapsed="false">
      <c r="A83" s="9"/>
      <c r="B83" s="10"/>
      <c r="C83" s="11" t="str">
        <f aca="false">IF(B83="","",CHOOSE(WEEKDAY(B83),"Sun","Mon","Tue","Wed","Thu","Fri","Sat"))</f>
        <v/>
      </c>
      <c r="D83" s="12"/>
      <c r="E83" s="12"/>
      <c r="F83" s="13" t="str">
        <f aca="false">IF(OR(D83="",E83=""),"",IF(E83&gt;D83,(E83-D83)*24,""))</f>
        <v/>
      </c>
      <c r="G83" s="9"/>
      <c r="H83" s="11" t="str">
        <f aca="false">IF(OR(A83="",B83="",D83="",E83=""),"",IF(E83&lt;=D83,"End before start",IF(COUNTIFS($B$9:$B$208,B83,$D$9:$D$208,"&lt;"&amp;(E83-1/1440),$E$9:$E$208,"&gt;"&amp;(D83+1/1440))&gt;1,"CONFLICT","OK")))</f>
        <v/>
      </c>
    </row>
    <row r="84" customFormat="false" ht="15" hidden="false" customHeight="false" outlineLevel="0" collapsed="false">
      <c r="A84" s="9"/>
      <c r="B84" s="10"/>
      <c r="C84" s="11" t="str">
        <f aca="false">IF(B84="","",CHOOSE(WEEKDAY(B84),"Sun","Mon","Tue","Wed","Thu","Fri","Sat"))</f>
        <v/>
      </c>
      <c r="D84" s="12"/>
      <c r="E84" s="12"/>
      <c r="F84" s="13" t="str">
        <f aca="false">IF(OR(D84="",E84=""),"",IF(E84&gt;D84,(E84-D84)*24,""))</f>
        <v/>
      </c>
      <c r="G84" s="9"/>
      <c r="H84" s="11" t="str">
        <f aca="false">IF(OR(A84="",B84="",D84="",E84=""),"",IF(E84&lt;=D84,"End before start",IF(COUNTIFS($B$9:$B$208,B84,$D$9:$D$208,"&lt;"&amp;(E84-1/1440),$E$9:$E$208,"&gt;"&amp;(D84+1/1440))&gt;1,"CONFLICT","OK")))</f>
        <v/>
      </c>
    </row>
    <row r="85" customFormat="false" ht="15" hidden="false" customHeight="false" outlineLevel="0" collapsed="false">
      <c r="A85" s="9"/>
      <c r="B85" s="10"/>
      <c r="C85" s="11" t="str">
        <f aca="false">IF(B85="","",CHOOSE(WEEKDAY(B85),"Sun","Mon","Tue","Wed","Thu","Fri","Sat"))</f>
        <v/>
      </c>
      <c r="D85" s="12"/>
      <c r="E85" s="12"/>
      <c r="F85" s="13" t="str">
        <f aca="false">IF(OR(D85="",E85=""),"",IF(E85&gt;D85,(E85-D85)*24,""))</f>
        <v/>
      </c>
      <c r="G85" s="9"/>
      <c r="H85" s="11" t="str">
        <f aca="false">IF(OR(A85="",B85="",D85="",E85=""),"",IF(E85&lt;=D85,"End before start",IF(COUNTIFS($B$9:$B$208,B85,$D$9:$D$208,"&lt;"&amp;(E85-1/1440),$E$9:$E$208,"&gt;"&amp;(D85+1/1440))&gt;1,"CONFLICT","OK")))</f>
        <v/>
      </c>
    </row>
    <row r="86" customFormat="false" ht="15" hidden="false" customHeight="false" outlineLevel="0" collapsed="false">
      <c r="A86" s="9"/>
      <c r="B86" s="10"/>
      <c r="C86" s="11" t="str">
        <f aca="false">IF(B86="","",CHOOSE(WEEKDAY(B86),"Sun","Mon","Tue","Wed","Thu","Fri","Sat"))</f>
        <v/>
      </c>
      <c r="D86" s="12"/>
      <c r="E86" s="12"/>
      <c r="F86" s="13" t="str">
        <f aca="false">IF(OR(D86="",E86=""),"",IF(E86&gt;D86,(E86-D86)*24,""))</f>
        <v/>
      </c>
      <c r="G86" s="9"/>
      <c r="H86" s="11" t="str">
        <f aca="false">IF(OR(A86="",B86="",D86="",E86=""),"",IF(E86&lt;=D86,"End before start",IF(COUNTIFS($B$9:$B$208,B86,$D$9:$D$208,"&lt;"&amp;(E86-1/1440),$E$9:$E$208,"&gt;"&amp;(D86+1/1440))&gt;1,"CONFLICT","OK")))</f>
        <v/>
      </c>
    </row>
    <row r="87" customFormat="false" ht="15" hidden="false" customHeight="false" outlineLevel="0" collapsed="false">
      <c r="A87" s="9"/>
      <c r="B87" s="10"/>
      <c r="C87" s="11" t="str">
        <f aca="false">IF(B87="","",CHOOSE(WEEKDAY(B87),"Sun","Mon","Tue","Wed","Thu","Fri","Sat"))</f>
        <v/>
      </c>
      <c r="D87" s="12"/>
      <c r="E87" s="12"/>
      <c r="F87" s="13" t="str">
        <f aca="false">IF(OR(D87="",E87=""),"",IF(E87&gt;D87,(E87-D87)*24,""))</f>
        <v/>
      </c>
      <c r="G87" s="9"/>
      <c r="H87" s="11" t="str">
        <f aca="false">IF(OR(A87="",B87="",D87="",E87=""),"",IF(E87&lt;=D87,"End before start",IF(COUNTIFS($B$9:$B$208,B87,$D$9:$D$208,"&lt;"&amp;(E87-1/1440),$E$9:$E$208,"&gt;"&amp;(D87+1/1440))&gt;1,"CONFLICT","OK")))</f>
        <v/>
      </c>
    </row>
    <row r="88" customFormat="false" ht="15" hidden="false" customHeight="false" outlineLevel="0" collapsed="false">
      <c r="A88" s="9"/>
      <c r="B88" s="10"/>
      <c r="C88" s="11" t="str">
        <f aca="false">IF(B88="","",CHOOSE(WEEKDAY(B88),"Sun","Mon","Tue","Wed","Thu","Fri","Sat"))</f>
        <v/>
      </c>
      <c r="D88" s="12"/>
      <c r="E88" s="12"/>
      <c r="F88" s="13" t="str">
        <f aca="false">IF(OR(D88="",E88=""),"",IF(E88&gt;D88,(E88-D88)*24,""))</f>
        <v/>
      </c>
      <c r="G88" s="9"/>
      <c r="H88" s="11" t="str">
        <f aca="false">IF(OR(A88="",B88="",D88="",E88=""),"",IF(E88&lt;=D88,"End before start",IF(COUNTIFS($B$9:$B$208,B88,$D$9:$D$208,"&lt;"&amp;(E88-1/1440),$E$9:$E$208,"&gt;"&amp;(D88+1/1440))&gt;1,"CONFLICT","OK")))</f>
        <v/>
      </c>
    </row>
    <row r="89" customFormat="false" ht="15" hidden="false" customHeight="false" outlineLevel="0" collapsed="false">
      <c r="A89" s="9"/>
      <c r="B89" s="10"/>
      <c r="C89" s="11" t="str">
        <f aca="false">IF(B89="","",CHOOSE(WEEKDAY(B89),"Sun","Mon","Tue","Wed","Thu","Fri","Sat"))</f>
        <v/>
      </c>
      <c r="D89" s="12"/>
      <c r="E89" s="12"/>
      <c r="F89" s="13" t="str">
        <f aca="false">IF(OR(D89="",E89=""),"",IF(E89&gt;D89,(E89-D89)*24,""))</f>
        <v/>
      </c>
      <c r="G89" s="9"/>
      <c r="H89" s="11" t="str">
        <f aca="false">IF(OR(A89="",B89="",D89="",E89=""),"",IF(E89&lt;=D89,"End before start",IF(COUNTIFS($B$9:$B$208,B89,$D$9:$D$208,"&lt;"&amp;(E89-1/1440),$E$9:$E$208,"&gt;"&amp;(D89+1/1440))&gt;1,"CONFLICT","OK")))</f>
        <v/>
      </c>
    </row>
    <row r="90" customFormat="false" ht="15" hidden="false" customHeight="false" outlineLevel="0" collapsed="false">
      <c r="A90" s="9"/>
      <c r="B90" s="10"/>
      <c r="C90" s="11" t="str">
        <f aca="false">IF(B90="","",CHOOSE(WEEKDAY(B90),"Sun","Mon","Tue","Wed","Thu","Fri","Sat"))</f>
        <v/>
      </c>
      <c r="D90" s="12"/>
      <c r="E90" s="12"/>
      <c r="F90" s="13" t="str">
        <f aca="false">IF(OR(D90="",E90=""),"",IF(E90&gt;D90,(E90-D90)*24,""))</f>
        <v/>
      </c>
      <c r="G90" s="9"/>
      <c r="H90" s="11" t="str">
        <f aca="false">IF(OR(A90="",B90="",D90="",E90=""),"",IF(E90&lt;=D90,"End before start",IF(COUNTIFS($B$9:$B$208,B90,$D$9:$D$208,"&lt;"&amp;(E90-1/1440),$E$9:$E$208,"&gt;"&amp;(D90+1/1440))&gt;1,"CONFLICT","OK")))</f>
        <v/>
      </c>
    </row>
    <row r="91" customFormat="false" ht="15" hidden="false" customHeight="false" outlineLevel="0" collapsed="false">
      <c r="A91" s="9"/>
      <c r="B91" s="10"/>
      <c r="C91" s="11" t="str">
        <f aca="false">IF(B91="","",CHOOSE(WEEKDAY(B91),"Sun","Mon","Tue","Wed","Thu","Fri","Sat"))</f>
        <v/>
      </c>
      <c r="D91" s="12"/>
      <c r="E91" s="12"/>
      <c r="F91" s="13" t="str">
        <f aca="false">IF(OR(D91="",E91=""),"",IF(E91&gt;D91,(E91-D91)*24,""))</f>
        <v/>
      </c>
      <c r="G91" s="9"/>
      <c r="H91" s="11" t="str">
        <f aca="false">IF(OR(A91="",B91="",D91="",E91=""),"",IF(E91&lt;=D91,"End before start",IF(COUNTIFS($B$9:$B$208,B91,$D$9:$D$208,"&lt;"&amp;(E91-1/1440),$E$9:$E$208,"&gt;"&amp;(D91+1/1440))&gt;1,"CONFLICT","OK")))</f>
        <v/>
      </c>
    </row>
    <row r="92" customFormat="false" ht="15" hidden="false" customHeight="false" outlineLevel="0" collapsed="false">
      <c r="A92" s="9"/>
      <c r="B92" s="10"/>
      <c r="C92" s="11" t="str">
        <f aca="false">IF(B92="","",CHOOSE(WEEKDAY(B92),"Sun","Mon","Tue","Wed","Thu","Fri","Sat"))</f>
        <v/>
      </c>
      <c r="D92" s="12"/>
      <c r="E92" s="12"/>
      <c r="F92" s="13" t="str">
        <f aca="false">IF(OR(D92="",E92=""),"",IF(E92&gt;D92,(E92-D92)*24,""))</f>
        <v/>
      </c>
      <c r="G92" s="9"/>
      <c r="H92" s="11" t="str">
        <f aca="false">IF(OR(A92="",B92="",D92="",E92=""),"",IF(E92&lt;=D92,"End before start",IF(COUNTIFS($B$9:$B$208,B92,$D$9:$D$208,"&lt;"&amp;(E92-1/1440),$E$9:$E$208,"&gt;"&amp;(D92+1/1440))&gt;1,"CONFLICT","OK")))</f>
        <v/>
      </c>
    </row>
    <row r="93" customFormat="false" ht="15" hidden="false" customHeight="false" outlineLevel="0" collapsed="false">
      <c r="A93" s="9"/>
      <c r="B93" s="10"/>
      <c r="C93" s="11" t="str">
        <f aca="false">IF(B93="","",CHOOSE(WEEKDAY(B93),"Sun","Mon","Tue","Wed","Thu","Fri","Sat"))</f>
        <v/>
      </c>
      <c r="D93" s="12"/>
      <c r="E93" s="12"/>
      <c r="F93" s="13" t="str">
        <f aca="false">IF(OR(D93="",E93=""),"",IF(E93&gt;D93,(E93-D93)*24,""))</f>
        <v/>
      </c>
      <c r="G93" s="9"/>
      <c r="H93" s="11" t="str">
        <f aca="false">IF(OR(A93="",B93="",D93="",E93=""),"",IF(E93&lt;=D93,"End before start",IF(COUNTIFS($B$9:$B$208,B93,$D$9:$D$208,"&lt;"&amp;(E93-1/1440),$E$9:$E$208,"&gt;"&amp;(D93+1/1440))&gt;1,"CONFLICT","OK")))</f>
        <v/>
      </c>
    </row>
    <row r="94" customFormat="false" ht="15" hidden="false" customHeight="false" outlineLevel="0" collapsed="false">
      <c r="A94" s="9"/>
      <c r="B94" s="10"/>
      <c r="C94" s="11" t="str">
        <f aca="false">IF(B94="","",CHOOSE(WEEKDAY(B94),"Sun","Mon","Tue","Wed","Thu","Fri","Sat"))</f>
        <v/>
      </c>
      <c r="D94" s="12"/>
      <c r="E94" s="12"/>
      <c r="F94" s="13" t="str">
        <f aca="false">IF(OR(D94="",E94=""),"",IF(E94&gt;D94,(E94-D94)*24,""))</f>
        <v/>
      </c>
      <c r="G94" s="9"/>
      <c r="H94" s="11" t="str">
        <f aca="false">IF(OR(A94="",B94="",D94="",E94=""),"",IF(E94&lt;=D94,"End before start",IF(COUNTIFS($B$9:$B$208,B94,$D$9:$D$208,"&lt;"&amp;(E94-1/1440),$E$9:$E$208,"&gt;"&amp;(D94+1/1440))&gt;1,"CONFLICT","OK")))</f>
        <v/>
      </c>
    </row>
    <row r="95" customFormat="false" ht="15" hidden="false" customHeight="false" outlineLevel="0" collapsed="false">
      <c r="A95" s="9"/>
      <c r="B95" s="10"/>
      <c r="C95" s="11" t="str">
        <f aca="false">IF(B95="","",CHOOSE(WEEKDAY(B95),"Sun","Mon","Tue","Wed","Thu","Fri","Sat"))</f>
        <v/>
      </c>
      <c r="D95" s="12"/>
      <c r="E95" s="12"/>
      <c r="F95" s="13" t="str">
        <f aca="false">IF(OR(D95="",E95=""),"",IF(E95&gt;D95,(E95-D95)*24,""))</f>
        <v/>
      </c>
      <c r="G95" s="9"/>
      <c r="H95" s="11" t="str">
        <f aca="false">IF(OR(A95="",B95="",D95="",E95=""),"",IF(E95&lt;=D95,"End before start",IF(COUNTIFS($B$9:$B$208,B95,$D$9:$D$208,"&lt;"&amp;(E95-1/1440),$E$9:$E$208,"&gt;"&amp;(D95+1/1440))&gt;1,"CONFLICT","OK")))</f>
        <v/>
      </c>
    </row>
    <row r="96" customFormat="false" ht="15" hidden="false" customHeight="false" outlineLevel="0" collapsed="false">
      <c r="A96" s="9"/>
      <c r="B96" s="10"/>
      <c r="C96" s="11" t="str">
        <f aca="false">IF(B96="","",CHOOSE(WEEKDAY(B96),"Sun","Mon","Tue","Wed","Thu","Fri","Sat"))</f>
        <v/>
      </c>
      <c r="D96" s="12"/>
      <c r="E96" s="12"/>
      <c r="F96" s="13" t="str">
        <f aca="false">IF(OR(D96="",E96=""),"",IF(E96&gt;D96,(E96-D96)*24,""))</f>
        <v/>
      </c>
      <c r="G96" s="9"/>
      <c r="H96" s="11" t="str">
        <f aca="false">IF(OR(A96="",B96="",D96="",E96=""),"",IF(E96&lt;=D96,"End before start",IF(COUNTIFS($B$9:$B$208,B96,$D$9:$D$208,"&lt;"&amp;(E96-1/1440),$E$9:$E$208,"&gt;"&amp;(D96+1/1440))&gt;1,"CONFLICT","OK")))</f>
        <v/>
      </c>
    </row>
    <row r="97" customFormat="false" ht="15" hidden="false" customHeight="false" outlineLevel="0" collapsed="false">
      <c r="A97" s="9"/>
      <c r="B97" s="10"/>
      <c r="C97" s="11" t="str">
        <f aca="false">IF(B97="","",CHOOSE(WEEKDAY(B97),"Sun","Mon","Tue","Wed","Thu","Fri","Sat"))</f>
        <v/>
      </c>
      <c r="D97" s="12"/>
      <c r="E97" s="12"/>
      <c r="F97" s="13" t="str">
        <f aca="false">IF(OR(D97="",E97=""),"",IF(E97&gt;D97,(E97-D97)*24,""))</f>
        <v/>
      </c>
      <c r="G97" s="9"/>
      <c r="H97" s="11" t="str">
        <f aca="false">IF(OR(A97="",B97="",D97="",E97=""),"",IF(E97&lt;=D97,"End before start",IF(COUNTIFS($B$9:$B$208,B97,$D$9:$D$208,"&lt;"&amp;(E97-1/1440),$E$9:$E$208,"&gt;"&amp;(D97+1/1440))&gt;1,"CONFLICT","OK")))</f>
        <v/>
      </c>
    </row>
    <row r="98" customFormat="false" ht="15" hidden="false" customHeight="false" outlineLevel="0" collapsed="false">
      <c r="A98" s="9"/>
      <c r="B98" s="10"/>
      <c r="C98" s="11" t="str">
        <f aca="false">IF(B98="","",CHOOSE(WEEKDAY(B98),"Sun","Mon","Tue","Wed","Thu","Fri","Sat"))</f>
        <v/>
      </c>
      <c r="D98" s="12"/>
      <c r="E98" s="12"/>
      <c r="F98" s="13" t="str">
        <f aca="false">IF(OR(D98="",E98=""),"",IF(E98&gt;D98,(E98-D98)*24,""))</f>
        <v/>
      </c>
      <c r="G98" s="9"/>
      <c r="H98" s="11" t="str">
        <f aca="false">IF(OR(A98="",B98="",D98="",E98=""),"",IF(E98&lt;=D98,"End before start",IF(COUNTIFS($B$9:$B$208,B98,$D$9:$D$208,"&lt;"&amp;(E98-1/1440),$E$9:$E$208,"&gt;"&amp;(D98+1/1440))&gt;1,"CONFLICT","OK")))</f>
        <v/>
      </c>
    </row>
    <row r="99" customFormat="false" ht="15" hidden="false" customHeight="false" outlineLevel="0" collapsed="false">
      <c r="A99" s="9"/>
      <c r="B99" s="10"/>
      <c r="C99" s="11" t="str">
        <f aca="false">IF(B99="","",CHOOSE(WEEKDAY(B99),"Sun","Mon","Tue","Wed","Thu","Fri","Sat"))</f>
        <v/>
      </c>
      <c r="D99" s="12"/>
      <c r="E99" s="12"/>
      <c r="F99" s="13" t="str">
        <f aca="false">IF(OR(D99="",E99=""),"",IF(E99&gt;D99,(E99-D99)*24,""))</f>
        <v/>
      </c>
      <c r="G99" s="9"/>
      <c r="H99" s="11" t="str">
        <f aca="false">IF(OR(A99="",B99="",D99="",E99=""),"",IF(E99&lt;=D99,"End before start",IF(COUNTIFS($B$9:$B$208,B99,$D$9:$D$208,"&lt;"&amp;(E99-1/1440),$E$9:$E$208,"&gt;"&amp;(D99+1/1440))&gt;1,"CONFLICT","OK")))</f>
        <v/>
      </c>
    </row>
    <row r="100" customFormat="false" ht="15" hidden="false" customHeight="false" outlineLevel="0" collapsed="false">
      <c r="A100" s="9"/>
      <c r="B100" s="10"/>
      <c r="C100" s="11" t="str">
        <f aca="false">IF(B100="","",CHOOSE(WEEKDAY(B100),"Sun","Mon","Tue","Wed","Thu","Fri","Sat"))</f>
        <v/>
      </c>
      <c r="D100" s="12"/>
      <c r="E100" s="12"/>
      <c r="F100" s="13" t="str">
        <f aca="false">IF(OR(D100="",E100=""),"",IF(E100&gt;D100,(E100-D100)*24,""))</f>
        <v/>
      </c>
      <c r="G100" s="9"/>
      <c r="H100" s="11" t="str">
        <f aca="false">IF(OR(A100="",B100="",D100="",E100=""),"",IF(E100&lt;=D100,"End before start",IF(COUNTIFS($B$9:$B$208,B100,$D$9:$D$208,"&lt;"&amp;(E100-1/1440),$E$9:$E$208,"&gt;"&amp;(D100+1/1440))&gt;1,"CONFLICT","OK")))</f>
        <v/>
      </c>
    </row>
    <row r="101" customFormat="false" ht="15" hidden="false" customHeight="false" outlineLevel="0" collapsed="false">
      <c r="A101" s="9"/>
      <c r="B101" s="10"/>
      <c r="C101" s="11" t="str">
        <f aca="false">IF(B101="","",CHOOSE(WEEKDAY(B101),"Sun","Mon","Tue","Wed","Thu","Fri","Sat"))</f>
        <v/>
      </c>
      <c r="D101" s="12"/>
      <c r="E101" s="12"/>
      <c r="F101" s="13" t="str">
        <f aca="false">IF(OR(D101="",E101=""),"",IF(E101&gt;D101,(E101-D101)*24,""))</f>
        <v/>
      </c>
      <c r="G101" s="9"/>
      <c r="H101" s="11" t="str">
        <f aca="false">IF(OR(A101="",B101="",D101="",E101=""),"",IF(E101&lt;=D101,"End before start",IF(COUNTIFS($B$9:$B$208,B101,$D$9:$D$208,"&lt;"&amp;(E101-1/1440),$E$9:$E$208,"&gt;"&amp;(D101+1/1440))&gt;1,"CONFLICT","OK")))</f>
        <v/>
      </c>
    </row>
    <row r="102" customFormat="false" ht="15" hidden="false" customHeight="false" outlineLevel="0" collapsed="false">
      <c r="A102" s="9"/>
      <c r="B102" s="10"/>
      <c r="C102" s="11" t="str">
        <f aca="false">IF(B102="","",CHOOSE(WEEKDAY(B102),"Sun","Mon","Tue","Wed","Thu","Fri","Sat"))</f>
        <v/>
      </c>
      <c r="D102" s="12"/>
      <c r="E102" s="12"/>
      <c r="F102" s="13" t="str">
        <f aca="false">IF(OR(D102="",E102=""),"",IF(E102&gt;D102,(E102-D102)*24,""))</f>
        <v/>
      </c>
      <c r="G102" s="9"/>
      <c r="H102" s="11" t="str">
        <f aca="false">IF(OR(A102="",B102="",D102="",E102=""),"",IF(E102&lt;=D102,"End before start",IF(COUNTIFS($B$9:$B$208,B102,$D$9:$D$208,"&lt;"&amp;(E102-1/1440),$E$9:$E$208,"&gt;"&amp;(D102+1/1440))&gt;1,"CONFLICT","OK")))</f>
        <v/>
      </c>
    </row>
    <row r="103" customFormat="false" ht="15" hidden="false" customHeight="false" outlineLevel="0" collapsed="false">
      <c r="A103" s="9"/>
      <c r="B103" s="10"/>
      <c r="C103" s="11" t="str">
        <f aca="false">IF(B103="","",CHOOSE(WEEKDAY(B103),"Sun","Mon","Tue","Wed","Thu","Fri","Sat"))</f>
        <v/>
      </c>
      <c r="D103" s="12"/>
      <c r="E103" s="12"/>
      <c r="F103" s="13" t="str">
        <f aca="false">IF(OR(D103="",E103=""),"",IF(E103&gt;D103,(E103-D103)*24,""))</f>
        <v/>
      </c>
      <c r="G103" s="9"/>
      <c r="H103" s="11" t="str">
        <f aca="false">IF(OR(A103="",B103="",D103="",E103=""),"",IF(E103&lt;=D103,"End before start",IF(COUNTIFS($B$9:$B$208,B103,$D$9:$D$208,"&lt;"&amp;(E103-1/1440),$E$9:$E$208,"&gt;"&amp;(D103+1/1440))&gt;1,"CONFLICT","OK")))</f>
        <v/>
      </c>
    </row>
    <row r="104" customFormat="false" ht="15" hidden="false" customHeight="false" outlineLevel="0" collapsed="false">
      <c r="A104" s="9"/>
      <c r="B104" s="10"/>
      <c r="C104" s="11" t="str">
        <f aca="false">IF(B104="","",CHOOSE(WEEKDAY(B104),"Sun","Mon","Tue","Wed","Thu","Fri","Sat"))</f>
        <v/>
      </c>
      <c r="D104" s="12"/>
      <c r="E104" s="12"/>
      <c r="F104" s="13" t="str">
        <f aca="false">IF(OR(D104="",E104=""),"",IF(E104&gt;D104,(E104-D104)*24,""))</f>
        <v/>
      </c>
      <c r="G104" s="9"/>
      <c r="H104" s="11" t="str">
        <f aca="false">IF(OR(A104="",B104="",D104="",E104=""),"",IF(E104&lt;=D104,"End before start",IF(COUNTIFS($B$9:$B$208,B104,$D$9:$D$208,"&lt;"&amp;(E104-1/1440),$E$9:$E$208,"&gt;"&amp;(D104+1/1440))&gt;1,"CONFLICT","OK")))</f>
        <v/>
      </c>
    </row>
    <row r="105" customFormat="false" ht="15" hidden="false" customHeight="false" outlineLevel="0" collapsed="false">
      <c r="A105" s="9"/>
      <c r="B105" s="10"/>
      <c r="C105" s="11" t="str">
        <f aca="false">IF(B105="","",CHOOSE(WEEKDAY(B105),"Sun","Mon","Tue","Wed","Thu","Fri","Sat"))</f>
        <v/>
      </c>
      <c r="D105" s="12"/>
      <c r="E105" s="12"/>
      <c r="F105" s="13" t="str">
        <f aca="false">IF(OR(D105="",E105=""),"",IF(E105&gt;D105,(E105-D105)*24,""))</f>
        <v/>
      </c>
      <c r="G105" s="9"/>
      <c r="H105" s="11" t="str">
        <f aca="false">IF(OR(A105="",B105="",D105="",E105=""),"",IF(E105&lt;=D105,"End before start",IF(COUNTIFS($B$9:$B$208,B105,$D$9:$D$208,"&lt;"&amp;(E105-1/1440),$E$9:$E$208,"&gt;"&amp;(D105+1/1440))&gt;1,"CONFLICT","OK")))</f>
        <v/>
      </c>
    </row>
    <row r="106" customFormat="false" ht="15" hidden="false" customHeight="false" outlineLevel="0" collapsed="false">
      <c r="A106" s="9"/>
      <c r="B106" s="10"/>
      <c r="C106" s="11" t="str">
        <f aca="false">IF(B106="","",CHOOSE(WEEKDAY(B106),"Sun","Mon","Tue","Wed","Thu","Fri","Sat"))</f>
        <v/>
      </c>
      <c r="D106" s="12"/>
      <c r="E106" s="12"/>
      <c r="F106" s="13" t="str">
        <f aca="false">IF(OR(D106="",E106=""),"",IF(E106&gt;D106,(E106-D106)*24,""))</f>
        <v/>
      </c>
      <c r="G106" s="9"/>
      <c r="H106" s="11" t="str">
        <f aca="false">IF(OR(A106="",B106="",D106="",E106=""),"",IF(E106&lt;=D106,"End before start",IF(COUNTIFS($B$9:$B$208,B106,$D$9:$D$208,"&lt;"&amp;(E106-1/1440),$E$9:$E$208,"&gt;"&amp;(D106+1/1440))&gt;1,"CONFLICT","OK")))</f>
        <v/>
      </c>
    </row>
    <row r="107" customFormat="false" ht="15" hidden="false" customHeight="false" outlineLevel="0" collapsed="false">
      <c r="A107" s="9"/>
      <c r="B107" s="10"/>
      <c r="C107" s="11" t="str">
        <f aca="false">IF(B107="","",CHOOSE(WEEKDAY(B107),"Sun","Mon","Tue","Wed","Thu","Fri","Sat"))</f>
        <v/>
      </c>
      <c r="D107" s="12"/>
      <c r="E107" s="12"/>
      <c r="F107" s="13" t="str">
        <f aca="false">IF(OR(D107="",E107=""),"",IF(E107&gt;D107,(E107-D107)*24,""))</f>
        <v/>
      </c>
      <c r="G107" s="9"/>
      <c r="H107" s="11" t="str">
        <f aca="false">IF(OR(A107="",B107="",D107="",E107=""),"",IF(E107&lt;=D107,"End before start",IF(COUNTIFS($B$9:$B$208,B107,$D$9:$D$208,"&lt;"&amp;(E107-1/1440),$E$9:$E$208,"&gt;"&amp;(D107+1/1440))&gt;1,"CONFLICT","OK")))</f>
        <v/>
      </c>
    </row>
    <row r="108" customFormat="false" ht="15" hidden="false" customHeight="false" outlineLevel="0" collapsed="false">
      <c r="A108" s="9"/>
      <c r="B108" s="10"/>
      <c r="C108" s="11" t="str">
        <f aca="false">IF(B108="","",CHOOSE(WEEKDAY(B108),"Sun","Mon","Tue","Wed","Thu","Fri","Sat"))</f>
        <v/>
      </c>
      <c r="D108" s="12"/>
      <c r="E108" s="12"/>
      <c r="F108" s="13" t="str">
        <f aca="false">IF(OR(D108="",E108=""),"",IF(E108&gt;D108,(E108-D108)*24,""))</f>
        <v/>
      </c>
      <c r="G108" s="9"/>
      <c r="H108" s="11" t="str">
        <f aca="false">IF(OR(A108="",B108="",D108="",E108=""),"",IF(E108&lt;=D108,"End before start",IF(COUNTIFS($B$9:$B$208,B108,$D$9:$D$208,"&lt;"&amp;(E108-1/1440),$E$9:$E$208,"&gt;"&amp;(D108+1/1440))&gt;1,"CONFLICT","OK")))</f>
        <v/>
      </c>
    </row>
    <row r="109" customFormat="false" ht="15" hidden="false" customHeight="false" outlineLevel="0" collapsed="false">
      <c r="A109" s="9"/>
      <c r="B109" s="10"/>
      <c r="C109" s="11" t="str">
        <f aca="false">IF(B109="","",CHOOSE(WEEKDAY(B109),"Sun","Mon","Tue","Wed","Thu","Fri","Sat"))</f>
        <v/>
      </c>
      <c r="D109" s="12"/>
      <c r="E109" s="12"/>
      <c r="F109" s="13" t="str">
        <f aca="false">IF(OR(D109="",E109=""),"",IF(E109&gt;D109,(E109-D109)*24,""))</f>
        <v/>
      </c>
      <c r="G109" s="9"/>
      <c r="H109" s="11" t="str">
        <f aca="false">IF(OR(A109="",B109="",D109="",E109=""),"",IF(E109&lt;=D109,"End before start",IF(COUNTIFS($B$9:$B$208,B109,$D$9:$D$208,"&lt;"&amp;(E109-1/1440),$E$9:$E$208,"&gt;"&amp;(D109+1/1440))&gt;1,"CONFLICT","OK")))</f>
        <v/>
      </c>
    </row>
    <row r="110" customFormat="false" ht="15" hidden="false" customHeight="false" outlineLevel="0" collapsed="false">
      <c r="A110" s="9"/>
      <c r="B110" s="10"/>
      <c r="C110" s="11" t="str">
        <f aca="false">IF(B110="","",CHOOSE(WEEKDAY(B110),"Sun","Mon","Tue","Wed","Thu","Fri","Sat"))</f>
        <v/>
      </c>
      <c r="D110" s="12"/>
      <c r="E110" s="12"/>
      <c r="F110" s="13" t="str">
        <f aca="false">IF(OR(D110="",E110=""),"",IF(E110&gt;D110,(E110-D110)*24,""))</f>
        <v/>
      </c>
      <c r="G110" s="9"/>
      <c r="H110" s="11" t="str">
        <f aca="false">IF(OR(A110="",B110="",D110="",E110=""),"",IF(E110&lt;=D110,"End before start",IF(COUNTIFS($B$9:$B$208,B110,$D$9:$D$208,"&lt;"&amp;(E110-1/1440),$E$9:$E$208,"&gt;"&amp;(D110+1/1440))&gt;1,"CONFLICT","OK")))</f>
        <v/>
      </c>
    </row>
    <row r="111" customFormat="false" ht="15" hidden="false" customHeight="false" outlineLevel="0" collapsed="false">
      <c r="A111" s="9"/>
      <c r="B111" s="10"/>
      <c r="C111" s="11" t="str">
        <f aca="false">IF(B111="","",CHOOSE(WEEKDAY(B111),"Sun","Mon","Tue","Wed","Thu","Fri","Sat"))</f>
        <v/>
      </c>
      <c r="D111" s="12"/>
      <c r="E111" s="12"/>
      <c r="F111" s="13" t="str">
        <f aca="false">IF(OR(D111="",E111=""),"",IF(E111&gt;D111,(E111-D111)*24,""))</f>
        <v/>
      </c>
      <c r="G111" s="9"/>
      <c r="H111" s="11" t="str">
        <f aca="false">IF(OR(A111="",B111="",D111="",E111=""),"",IF(E111&lt;=D111,"End before start",IF(COUNTIFS($B$9:$B$208,B111,$D$9:$D$208,"&lt;"&amp;(E111-1/1440),$E$9:$E$208,"&gt;"&amp;(D111+1/1440))&gt;1,"CONFLICT","OK")))</f>
        <v/>
      </c>
    </row>
    <row r="112" customFormat="false" ht="15" hidden="false" customHeight="false" outlineLevel="0" collapsed="false">
      <c r="A112" s="9"/>
      <c r="B112" s="10"/>
      <c r="C112" s="11" t="str">
        <f aca="false">IF(B112="","",CHOOSE(WEEKDAY(B112),"Sun","Mon","Tue","Wed","Thu","Fri","Sat"))</f>
        <v/>
      </c>
      <c r="D112" s="12"/>
      <c r="E112" s="12"/>
      <c r="F112" s="13" t="str">
        <f aca="false">IF(OR(D112="",E112=""),"",IF(E112&gt;D112,(E112-D112)*24,""))</f>
        <v/>
      </c>
      <c r="G112" s="9"/>
      <c r="H112" s="11" t="str">
        <f aca="false">IF(OR(A112="",B112="",D112="",E112=""),"",IF(E112&lt;=D112,"End before start",IF(COUNTIFS($B$9:$B$208,B112,$D$9:$D$208,"&lt;"&amp;(E112-1/1440),$E$9:$E$208,"&gt;"&amp;(D112+1/1440))&gt;1,"CONFLICT","OK")))</f>
        <v/>
      </c>
    </row>
    <row r="113" customFormat="false" ht="15" hidden="false" customHeight="false" outlineLevel="0" collapsed="false">
      <c r="A113" s="9"/>
      <c r="B113" s="10"/>
      <c r="C113" s="11" t="str">
        <f aca="false">IF(B113="","",CHOOSE(WEEKDAY(B113),"Sun","Mon","Tue","Wed","Thu","Fri","Sat"))</f>
        <v/>
      </c>
      <c r="D113" s="12"/>
      <c r="E113" s="12"/>
      <c r="F113" s="13" t="str">
        <f aca="false">IF(OR(D113="",E113=""),"",IF(E113&gt;D113,(E113-D113)*24,""))</f>
        <v/>
      </c>
      <c r="G113" s="9"/>
      <c r="H113" s="11" t="str">
        <f aca="false">IF(OR(A113="",B113="",D113="",E113=""),"",IF(E113&lt;=D113,"End before start",IF(COUNTIFS($B$9:$B$208,B113,$D$9:$D$208,"&lt;"&amp;(E113-1/1440),$E$9:$E$208,"&gt;"&amp;(D113+1/1440))&gt;1,"CONFLICT","OK")))</f>
        <v/>
      </c>
    </row>
    <row r="114" customFormat="false" ht="15" hidden="false" customHeight="false" outlineLevel="0" collapsed="false">
      <c r="A114" s="9"/>
      <c r="B114" s="10"/>
      <c r="C114" s="11" t="str">
        <f aca="false">IF(B114="","",CHOOSE(WEEKDAY(B114),"Sun","Mon","Tue","Wed","Thu","Fri","Sat"))</f>
        <v/>
      </c>
      <c r="D114" s="12"/>
      <c r="E114" s="12"/>
      <c r="F114" s="13" t="str">
        <f aca="false">IF(OR(D114="",E114=""),"",IF(E114&gt;D114,(E114-D114)*24,""))</f>
        <v/>
      </c>
      <c r="G114" s="9"/>
      <c r="H114" s="11" t="str">
        <f aca="false">IF(OR(A114="",B114="",D114="",E114=""),"",IF(E114&lt;=D114,"End before start",IF(COUNTIFS($B$9:$B$208,B114,$D$9:$D$208,"&lt;"&amp;(E114-1/1440),$E$9:$E$208,"&gt;"&amp;(D114+1/1440))&gt;1,"CONFLICT","OK")))</f>
        <v/>
      </c>
    </row>
    <row r="115" customFormat="false" ht="15" hidden="false" customHeight="false" outlineLevel="0" collapsed="false">
      <c r="A115" s="9"/>
      <c r="B115" s="10"/>
      <c r="C115" s="11" t="str">
        <f aca="false">IF(B115="","",CHOOSE(WEEKDAY(B115),"Sun","Mon","Tue","Wed","Thu","Fri","Sat"))</f>
        <v/>
      </c>
      <c r="D115" s="12"/>
      <c r="E115" s="12"/>
      <c r="F115" s="13" t="str">
        <f aca="false">IF(OR(D115="",E115=""),"",IF(E115&gt;D115,(E115-D115)*24,""))</f>
        <v/>
      </c>
      <c r="G115" s="9"/>
      <c r="H115" s="11" t="str">
        <f aca="false">IF(OR(A115="",B115="",D115="",E115=""),"",IF(E115&lt;=D115,"End before start",IF(COUNTIFS($B$9:$B$208,B115,$D$9:$D$208,"&lt;"&amp;(E115-1/1440),$E$9:$E$208,"&gt;"&amp;(D115+1/1440))&gt;1,"CONFLICT","OK")))</f>
        <v/>
      </c>
    </row>
    <row r="116" customFormat="false" ht="15" hidden="false" customHeight="false" outlineLevel="0" collapsed="false">
      <c r="A116" s="9"/>
      <c r="B116" s="10"/>
      <c r="C116" s="11" t="str">
        <f aca="false">IF(B116="","",CHOOSE(WEEKDAY(B116),"Sun","Mon","Tue","Wed","Thu","Fri","Sat"))</f>
        <v/>
      </c>
      <c r="D116" s="12"/>
      <c r="E116" s="12"/>
      <c r="F116" s="13" t="str">
        <f aca="false">IF(OR(D116="",E116=""),"",IF(E116&gt;D116,(E116-D116)*24,""))</f>
        <v/>
      </c>
      <c r="G116" s="9"/>
      <c r="H116" s="11" t="str">
        <f aca="false">IF(OR(A116="",B116="",D116="",E116=""),"",IF(E116&lt;=D116,"End before start",IF(COUNTIFS($B$9:$B$208,B116,$D$9:$D$208,"&lt;"&amp;(E116-1/1440),$E$9:$E$208,"&gt;"&amp;(D116+1/1440))&gt;1,"CONFLICT","OK")))</f>
        <v/>
      </c>
    </row>
    <row r="117" customFormat="false" ht="15" hidden="false" customHeight="false" outlineLevel="0" collapsed="false">
      <c r="A117" s="9"/>
      <c r="B117" s="10"/>
      <c r="C117" s="11" t="str">
        <f aca="false">IF(B117="","",CHOOSE(WEEKDAY(B117),"Sun","Mon","Tue","Wed","Thu","Fri","Sat"))</f>
        <v/>
      </c>
      <c r="D117" s="12"/>
      <c r="E117" s="12"/>
      <c r="F117" s="13" t="str">
        <f aca="false">IF(OR(D117="",E117=""),"",IF(E117&gt;D117,(E117-D117)*24,""))</f>
        <v/>
      </c>
      <c r="G117" s="9"/>
      <c r="H117" s="11" t="str">
        <f aca="false">IF(OR(A117="",B117="",D117="",E117=""),"",IF(E117&lt;=D117,"End before start",IF(COUNTIFS($B$9:$B$208,B117,$D$9:$D$208,"&lt;"&amp;(E117-1/1440),$E$9:$E$208,"&gt;"&amp;(D117+1/1440))&gt;1,"CONFLICT","OK")))</f>
        <v/>
      </c>
    </row>
    <row r="118" customFormat="false" ht="15" hidden="false" customHeight="false" outlineLevel="0" collapsed="false">
      <c r="A118" s="9"/>
      <c r="B118" s="10"/>
      <c r="C118" s="11" t="str">
        <f aca="false">IF(B118="","",CHOOSE(WEEKDAY(B118),"Sun","Mon","Tue","Wed","Thu","Fri","Sat"))</f>
        <v/>
      </c>
      <c r="D118" s="12"/>
      <c r="E118" s="12"/>
      <c r="F118" s="13" t="str">
        <f aca="false">IF(OR(D118="",E118=""),"",IF(E118&gt;D118,(E118-D118)*24,""))</f>
        <v/>
      </c>
      <c r="G118" s="9"/>
      <c r="H118" s="11" t="str">
        <f aca="false">IF(OR(A118="",B118="",D118="",E118=""),"",IF(E118&lt;=D118,"End before start",IF(COUNTIFS($B$9:$B$208,B118,$D$9:$D$208,"&lt;"&amp;(E118-1/1440),$E$9:$E$208,"&gt;"&amp;(D118+1/1440))&gt;1,"CONFLICT","OK")))</f>
        <v/>
      </c>
    </row>
    <row r="119" customFormat="false" ht="15" hidden="false" customHeight="false" outlineLevel="0" collapsed="false">
      <c r="A119" s="9"/>
      <c r="B119" s="10"/>
      <c r="C119" s="11" t="str">
        <f aca="false">IF(B119="","",CHOOSE(WEEKDAY(B119),"Sun","Mon","Tue","Wed","Thu","Fri","Sat"))</f>
        <v/>
      </c>
      <c r="D119" s="12"/>
      <c r="E119" s="12"/>
      <c r="F119" s="13" t="str">
        <f aca="false">IF(OR(D119="",E119=""),"",IF(E119&gt;D119,(E119-D119)*24,""))</f>
        <v/>
      </c>
      <c r="G119" s="9"/>
      <c r="H119" s="11" t="str">
        <f aca="false">IF(OR(A119="",B119="",D119="",E119=""),"",IF(E119&lt;=D119,"End before start",IF(COUNTIFS($B$9:$B$208,B119,$D$9:$D$208,"&lt;"&amp;(E119-1/1440),$E$9:$E$208,"&gt;"&amp;(D119+1/1440))&gt;1,"CONFLICT","OK")))</f>
        <v/>
      </c>
    </row>
    <row r="120" customFormat="false" ht="15" hidden="false" customHeight="false" outlineLevel="0" collapsed="false">
      <c r="A120" s="9"/>
      <c r="B120" s="10"/>
      <c r="C120" s="11" t="str">
        <f aca="false">IF(B120="","",CHOOSE(WEEKDAY(B120),"Sun","Mon","Tue","Wed","Thu","Fri","Sat"))</f>
        <v/>
      </c>
      <c r="D120" s="12"/>
      <c r="E120" s="12"/>
      <c r="F120" s="13" t="str">
        <f aca="false">IF(OR(D120="",E120=""),"",IF(E120&gt;D120,(E120-D120)*24,""))</f>
        <v/>
      </c>
      <c r="G120" s="9"/>
      <c r="H120" s="11" t="str">
        <f aca="false">IF(OR(A120="",B120="",D120="",E120=""),"",IF(E120&lt;=D120,"End before start",IF(COUNTIFS($B$9:$B$208,B120,$D$9:$D$208,"&lt;"&amp;(E120-1/1440),$E$9:$E$208,"&gt;"&amp;(D120+1/1440))&gt;1,"CONFLICT","OK")))</f>
        <v/>
      </c>
    </row>
    <row r="121" customFormat="false" ht="15" hidden="false" customHeight="false" outlineLevel="0" collapsed="false">
      <c r="A121" s="9"/>
      <c r="B121" s="10"/>
      <c r="C121" s="11" t="str">
        <f aca="false">IF(B121="","",CHOOSE(WEEKDAY(B121),"Sun","Mon","Tue","Wed","Thu","Fri","Sat"))</f>
        <v/>
      </c>
      <c r="D121" s="12"/>
      <c r="E121" s="12"/>
      <c r="F121" s="13" t="str">
        <f aca="false">IF(OR(D121="",E121=""),"",IF(E121&gt;D121,(E121-D121)*24,""))</f>
        <v/>
      </c>
      <c r="G121" s="9"/>
      <c r="H121" s="11" t="str">
        <f aca="false">IF(OR(A121="",B121="",D121="",E121=""),"",IF(E121&lt;=D121,"End before start",IF(COUNTIFS($B$9:$B$208,B121,$D$9:$D$208,"&lt;"&amp;(E121-1/1440),$E$9:$E$208,"&gt;"&amp;(D121+1/1440))&gt;1,"CONFLICT","OK")))</f>
        <v/>
      </c>
    </row>
    <row r="122" customFormat="false" ht="15" hidden="false" customHeight="false" outlineLevel="0" collapsed="false">
      <c r="A122" s="9"/>
      <c r="B122" s="10"/>
      <c r="C122" s="11" t="str">
        <f aca="false">IF(B122="","",CHOOSE(WEEKDAY(B122),"Sun","Mon","Tue","Wed","Thu","Fri","Sat"))</f>
        <v/>
      </c>
      <c r="D122" s="12"/>
      <c r="E122" s="12"/>
      <c r="F122" s="13" t="str">
        <f aca="false">IF(OR(D122="",E122=""),"",IF(E122&gt;D122,(E122-D122)*24,""))</f>
        <v/>
      </c>
      <c r="G122" s="9"/>
      <c r="H122" s="11" t="str">
        <f aca="false">IF(OR(A122="",B122="",D122="",E122=""),"",IF(E122&lt;=D122,"End before start",IF(COUNTIFS($B$9:$B$208,B122,$D$9:$D$208,"&lt;"&amp;(E122-1/1440),$E$9:$E$208,"&gt;"&amp;(D122+1/1440))&gt;1,"CONFLICT","OK")))</f>
        <v/>
      </c>
    </row>
    <row r="123" customFormat="false" ht="15" hidden="false" customHeight="false" outlineLevel="0" collapsed="false">
      <c r="A123" s="9"/>
      <c r="B123" s="10"/>
      <c r="C123" s="11" t="str">
        <f aca="false">IF(B123="","",CHOOSE(WEEKDAY(B123),"Sun","Mon","Tue","Wed","Thu","Fri","Sat"))</f>
        <v/>
      </c>
      <c r="D123" s="12"/>
      <c r="E123" s="12"/>
      <c r="F123" s="13" t="str">
        <f aca="false">IF(OR(D123="",E123=""),"",IF(E123&gt;D123,(E123-D123)*24,""))</f>
        <v/>
      </c>
      <c r="G123" s="9"/>
      <c r="H123" s="11" t="str">
        <f aca="false">IF(OR(A123="",B123="",D123="",E123=""),"",IF(E123&lt;=D123,"End before start",IF(COUNTIFS($B$9:$B$208,B123,$D$9:$D$208,"&lt;"&amp;(E123-1/1440),$E$9:$E$208,"&gt;"&amp;(D123+1/1440))&gt;1,"CONFLICT","OK")))</f>
        <v/>
      </c>
    </row>
    <row r="124" customFormat="false" ht="15" hidden="false" customHeight="false" outlineLevel="0" collapsed="false">
      <c r="A124" s="9"/>
      <c r="B124" s="10"/>
      <c r="C124" s="11" t="str">
        <f aca="false">IF(B124="","",CHOOSE(WEEKDAY(B124),"Sun","Mon","Tue","Wed","Thu","Fri","Sat"))</f>
        <v/>
      </c>
      <c r="D124" s="12"/>
      <c r="E124" s="12"/>
      <c r="F124" s="13" t="str">
        <f aca="false">IF(OR(D124="",E124=""),"",IF(E124&gt;D124,(E124-D124)*24,""))</f>
        <v/>
      </c>
      <c r="G124" s="9"/>
      <c r="H124" s="11" t="str">
        <f aca="false">IF(OR(A124="",B124="",D124="",E124=""),"",IF(E124&lt;=D124,"End before start",IF(COUNTIFS($B$9:$B$208,B124,$D$9:$D$208,"&lt;"&amp;(E124-1/1440),$E$9:$E$208,"&gt;"&amp;(D124+1/1440))&gt;1,"CONFLICT","OK")))</f>
        <v/>
      </c>
    </row>
    <row r="125" customFormat="false" ht="15" hidden="false" customHeight="false" outlineLevel="0" collapsed="false">
      <c r="A125" s="9"/>
      <c r="B125" s="10"/>
      <c r="C125" s="11" t="str">
        <f aca="false">IF(B125="","",CHOOSE(WEEKDAY(B125),"Sun","Mon","Tue","Wed","Thu","Fri","Sat"))</f>
        <v/>
      </c>
      <c r="D125" s="12"/>
      <c r="E125" s="12"/>
      <c r="F125" s="13" t="str">
        <f aca="false">IF(OR(D125="",E125=""),"",IF(E125&gt;D125,(E125-D125)*24,""))</f>
        <v/>
      </c>
      <c r="G125" s="9"/>
      <c r="H125" s="11" t="str">
        <f aca="false">IF(OR(A125="",B125="",D125="",E125=""),"",IF(E125&lt;=D125,"End before start",IF(COUNTIFS($B$9:$B$208,B125,$D$9:$D$208,"&lt;"&amp;(E125-1/1440),$E$9:$E$208,"&gt;"&amp;(D125+1/1440))&gt;1,"CONFLICT","OK")))</f>
        <v/>
      </c>
    </row>
    <row r="126" customFormat="false" ht="15" hidden="false" customHeight="false" outlineLevel="0" collapsed="false">
      <c r="A126" s="9"/>
      <c r="B126" s="10"/>
      <c r="C126" s="11" t="str">
        <f aca="false">IF(B126="","",CHOOSE(WEEKDAY(B126),"Sun","Mon","Tue","Wed","Thu","Fri","Sat"))</f>
        <v/>
      </c>
      <c r="D126" s="12"/>
      <c r="E126" s="12"/>
      <c r="F126" s="13" t="str">
        <f aca="false">IF(OR(D126="",E126=""),"",IF(E126&gt;D126,(E126-D126)*24,""))</f>
        <v/>
      </c>
      <c r="G126" s="9"/>
      <c r="H126" s="11" t="str">
        <f aca="false">IF(OR(A126="",B126="",D126="",E126=""),"",IF(E126&lt;=D126,"End before start",IF(COUNTIFS($B$9:$B$208,B126,$D$9:$D$208,"&lt;"&amp;(E126-1/1440),$E$9:$E$208,"&gt;"&amp;(D126+1/1440))&gt;1,"CONFLICT","OK")))</f>
        <v/>
      </c>
    </row>
    <row r="127" customFormat="false" ht="15" hidden="false" customHeight="false" outlineLevel="0" collapsed="false">
      <c r="A127" s="9"/>
      <c r="B127" s="10"/>
      <c r="C127" s="11" t="str">
        <f aca="false">IF(B127="","",CHOOSE(WEEKDAY(B127),"Sun","Mon","Tue","Wed","Thu","Fri","Sat"))</f>
        <v/>
      </c>
      <c r="D127" s="12"/>
      <c r="E127" s="12"/>
      <c r="F127" s="13" t="str">
        <f aca="false">IF(OR(D127="",E127=""),"",IF(E127&gt;D127,(E127-D127)*24,""))</f>
        <v/>
      </c>
      <c r="G127" s="9"/>
      <c r="H127" s="11" t="str">
        <f aca="false">IF(OR(A127="",B127="",D127="",E127=""),"",IF(E127&lt;=D127,"End before start",IF(COUNTIFS($B$9:$B$208,B127,$D$9:$D$208,"&lt;"&amp;(E127-1/1440),$E$9:$E$208,"&gt;"&amp;(D127+1/1440))&gt;1,"CONFLICT","OK")))</f>
        <v/>
      </c>
    </row>
    <row r="128" customFormat="false" ht="15" hidden="false" customHeight="false" outlineLevel="0" collapsed="false">
      <c r="A128" s="9"/>
      <c r="B128" s="10"/>
      <c r="C128" s="11" t="str">
        <f aca="false">IF(B128="","",CHOOSE(WEEKDAY(B128),"Sun","Mon","Tue","Wed","Thu","Fri","Sat"))</f>
        <v/>
      </c>
      <c r="D128" s="12"/>
      <c r="E128" s="12"/>
      <c r="F128" s="13" t="str">
        <f aca="false">IF(OR(D128="",E128=""),"",IF(E128&gt;D128,(E128-D128)*24,""))</f>
        <v/>
      </c>
      <c r="G128" s="9"/>
      <c r="H128" s="11" t="str">
        <f aca="false">IF(OR(A128="",B128="",D128="",E128=""),"",IF(E128&lt;=D128,"End before start",IF(COUNTIFS($B$9:$B$208,B128,$D$9:$D$208,"&lt;"&amp;(E128-1/1440),$E$9:$E$208,"&gt;"&amp;(D128+1/1440))&gt;1,"CONFLICT","OK")))</f>
        <v/>
      </c>
    </row>
    <row r="129" customFormat="false" ht="15" hidden="false" customHeight="false" outlineLevel="0" collapsed="false">
      <c r="A129" s="9"/>
      <c r="B129" s="10"/>
      <c r="C129" s="11" t="str">
        <f aca="false">IF(B129="","",CHOOSE(WEEKDAY(B129),"Sun","Mon","Tue","Wed","Thu","Fri","Sat"))</f>
        <v/>
      </c>
      <c r="D129" s="12"/>
      <c r="E129" s="12"/>
      <c r="F129" s="13" t="str">
        <f aca="false">IF(OR(D129="",E129=""),"",IF(E129&gt;D129,(E129-D129)*24,""))</f>
        <v/>
      </c>
      <c r="G129" s="9"/>
      <c r="H129" s="11" t="str">
        <f aca="false">IF(OR(A129="",B129="",D129="",E129=""),"",IF(E129&lt;=D129,"End before start",IF(COUNTIFS($B$9:$B$208,B129,$D$9:$D$208,"&lt;"&amp;(E129-1/1440),$E$9:$E$208,"&gt;"&amp;(D129+1/1440))&gt;1,"CONFLICT","OK")))</f>
        <v/>
      </c>
    </row>
    <row r="130" customFormat="false" ht="15" hidden="false" customHeight="false" outlineLevel="0" collapsed="false">
      <c r="A130" s="9"/>
      <c r="B130" s="10"/>
      <c r="C130" s="11" t="str">
        <f aca="false">IF(B130="","",CHOOSE(WEEKDAY(B130),"Sun","Mon","Tue","Wed","Thu","Fri","Sat"))</f>
        <v/>
      </c>
      <c r="D130" s="12"/>
      <c r="E130" s="12"/>
      <c r="F130" s="13" t="str">
        <f aca="false">IF(OR(D130="",E130=""),"",IF(E130&gt;D130,(E130-D130)*24,""))</f>
        <v/>
      </c>
      <c r="G130" s="9"/>
      <c r="H130" s="11" t="str">
        <f aca="false">IF(OR(A130="",B130="",D130="",E130=""),"",IF(E130&lt;=D130,"End before start",IF(COUNTIFS($B$9:$B$208,B130,$D$9:$D$208,"&lt;"&amp;(E130-1/1440),$E$9:$E$208,"&gt;"&amp;(D130+1/1440))&gt;1,"CONFLICT","OK")))</f>
        <v/>
      </c>
    </row>
    <row r="131" customFormat="false" ht="15" hidden="false" customHeight="false" outlineLevel="0" collapsed="false">
      <c r="A131" s="9"/>
      <c r="B131" s="10"/>
      <c r="C131" s="11" t="str">
        <f aca="false">IF(B131="","",CHOOSE(WEEKDAY(B131),"Sun","Mon","Tue","Wed","Thu","Fri","Sat"))</f>
        <v/>
      </c>
      <c r="D131" s="12"/>
      <c r="E131" s="12"/>
      <c r="F131" s="13" t="str">
        <f aca="false">IF(OR(D131="",E131=""),"",IF(E131&gt;D131,(E131-D131)*24,""))</f>
        <v/>
      </c>
      <c r="G131" s="9"/>
      <c r="H131" s="11" t="str">
        <f aca="false">IF(OR(A131="",B131="",D131="",E131=""),"",IF(E131&lt;=D131,"End before start",IF(COUNTIFS($B$9:$B$208,B131,$D$9:$D$208,"&lt;"&amp;(E131-1/1440),$E$9:$E$208,"&gt;"&amp;(D131+1/1440))&gt;1,"CONFLICT","OK")))</f>
        <v/>
      </c>
    </row>
    <row r="132" customFormat="false" ht="15" hidden="false" customHeight="false" outlineLevel="0" collapsed="false">
      <c r="A132" s="9"/>
      <c r="B132" s="10"/>
      <c r="C132" s="11" t="str">
        <f aca="false">IF(B132="","",CHOOSE(WEEKDAY(B132),"Sun","Mon","Tue","Wed","Thu","Fri","Sat"))</f>
        <v/>
      </c>
      <c r="D132" s="12"/>
      <c r="E132" s="12"/>
      <c r="F132" s="13" t="str">
        <f aca="false">IF(OR(D132="",E132=""),"",IF(E132&gt;D132,(E132-D132)*24,""))</f>
        <v/>
      </c>
      <c r="G132" s="9"/>
      <c r="H132" s="11" t="str">
        <f aca="false">IF(OR(A132="",B132="",D132="",E132=""),"",IF(E132&lt;=D132,"End before start",IF(COUNTIFS($B$9:$B$208,B132,$D$9:$D$208,"&lt;"&amp;(E132-1/1440),$E$9:$E$208,"&gt;"&amp;(D132+1/1440))&gt;1,"CONFLICT","OK")))</f>
        <v/>
      </c>
    </row>
    <row r="133" customFormat="false" ht="15" hidden="false" customHeight="false" outlineLevel="0" collapsed="false">
      <c r="A133" s="9"/>
      <c r="B133" s="10"/>
      <c r="C133" s="11" t="str">
        <f aca="false">IF(B133="","",CHOOSE(WEEKDAY(B133),"Sun","Mon","Tue","Wed","Thu","Fri","Sat"))</f>
        <v/>
      </c>
      <c r="D133" s="12"/>
      <c r="E133" s="12"/>
      <c r="F133" s="13" t="str">
        <f aca="false">IF(OR(D133="",E133=""),"",IF(E133&gt;D133,(E133-D133)*24,""))</f>
        <v/>
      </c>
      <c r="G133" s="9"/>
      <c r="H133" s="11" t="str">
        <f aca="false">IF(OR(A133="",B133="",D133="",E133=""),"",IF(E133&lt;=D133,"End before start",IF(COUNTIFS($B$9:$B$208,B133,$D$9:$D$208,"&lt;"&amp;(E133-1/1440),$E$9:$E$208,"&gt;"&amp;(D133+1/1440))&gt;1,"CONFLICT","OK")))</f>
        <v/>
      </c>
    </row>
    <row r="134" customFormat="false" ht="15" hidden="false" customHeight="false" outlineLevel="0" collapsed="false">
      <c r="A134" s="9"/>
      <c r="B134" s="10"/>
      <c r="C134" s="11" t="str">
        <f aca="false">IF(B134="","",CHOOSE(WEEKDAY(B134),"Sun","Mon","Tue","Wed","Thu","Fri","Sat"))</f>
        <v/>
      </c>
      <c r="D134" s="12"/>
      <c r="E134" s="12"/>
      <c r="F134" s="13" t="str">
        <f aca="false">IF(OR(D134="",E134=""),"",IF(E134&gt;D134,(E134-D134)*24,""))</f>
        <v/>
      </c>
      <c r="G134" s="9"/>
      <c r="H134" s="11" t="str">
        <f aca="false">IF(OR(A134="",B134="",D134="",E134=""),"",IF(E134&lt;=D134,"End before start",IF(COUNTIFS($B$9:$B$208,B134,$D$9:$D$208,"&lt;"&amp;(E134-1/1440),$E$9:$E$208,"&gt;"&amp;(D134+1/1440))&gt;1,"CONFLICT","OK")))</f>
        <v/>
      </c>
    </row>
    <row r="135" customFormat="false" ht="15" hidden="false" customHeight="false" outlineLevel="0" collapsed="false">
      <c r="A135" s="9"/>
      <c r="B135" s="10"/>
      <c r="C135" s="11" t="str">
        <f aca="false">IF(B135="","",CHOOSE(WEEKDAY(B135),"Sun","Mon","Tue","Wed","Thu","Fri","Sat"))</f>
        <v/>
      </c>
      <c r="D135" s="12"/>
      <c r="E135" s="12"/>
      <c r="F135" s="13" t="str">
        <f aca="false">IF(OR(D135="",E135=""),"",IF(E135&gt;D135,(E135-D135)*24,""))</f>
        <v/>
      </c>
      <c r="G135" s="9"/>
      <c r="H135" s="11" t="str">
        <f aca="false">IF(OR(A135="",B135="",D135="",E135=""),"",IF(E135&lt;=D135,"End before start",IF(COUNTIFS($B$9:$B$208,B135,$D$9:$D$208,"&lt;"&amp;(E135-1/1440),$E$9:$E$208,"&gt;"&amp;(D135+1/1440))&gt;1,"CONFLICT","OK")))</f>
        <v/>
      </c>
    </row>
    <row r="136" customFormat="false" ht="15" hidden="false" customHeight="false" outlineLevel="0" collapsed="false">
      <c r="A136" s="9"/>
      <c r="B136" s="10"/>
      <c r="C136" s="11" t="str">
        <f aca="false">IF(B136="","",CHOOSE(WEEKDAY(B136),"Sun","Mon","Tue","Wed","Thu","Fri","Sat"))</f>
        <v/>
      </c>
      <c r="D136" s="12"/>
      <c r="E136" s="12"/>
      <c r="F136" s="13" t="str">
        <f aca="false">IF(OR(D136="",E136=""),"",IF(E136&gt;D136,(E136-D136)*24,""))</f>
        <v/>
      </c>
      <c r="G136" s="9"/>
      <c r="H136" s="11" t="str">
        <f aca="false">IF(OR(A136="",B136="",D136="",E136=""),"",IF(E136&lt;=D136,"End before start",IF(COUNTIFS($B$9:$B$208,B136,$D$9:$D$208,"&lt;"&amp;(E136-1/1440),$E$9:$E$208,"&gt;"&amp;(D136+1/1440))&gt;1,"CONFLICT","OK")))</f>
        <v/>
      </c>
    </row>
    <row r="137" customFormat="false" ht="15" hidden="false" customHeight="false" outlineLevel="0" collapsed="false">
      <c r="A137" s="9"/>
      <c r="B137" s="10"/>
      <c r="C137" s="11" t="str">
        <f aca="false">IF(B137="","",CHOOSE(WEEKDAY(B137),"Sun","Mon","Tue","Wed","Thu","Fri","Sat"))</f>
        <v/>
      </c>
      <c r="D137" s="12"/>
      <c r="E137" s="12"/>
      <c r="F137" s="13" t="str">
        <f aca="false">IF(OR(D137="",E137=""),"",IF(E137&gt;D137,(E137-D137)*24,""))</f>
        <v/>
      </c>
      <c r="G137" s="9"/>
      <c r="H137" s="11" t="str">
        <f aca="false">IF(OR(A137="",B137="",D137="",E137=""),"",IF(E137&lt;=D137,"End before start",IF(COUNTIFS($B$9:$B$208,B137,$D$9:$D$208,"&lt;"&amp;(E137-1/1440),$E$9:$E$208,"&gt;"&amp;(D137+1/1440))&gt;1,"CONFLICT","OK")))</f>
        <v/>
      </c>
    </row>
    <row r="138" customFormat="false" ht="15" hidden="false" customHeight="false" outlineLevel="0" collapsed="false">
      <c r="A138" s="9"/>
      <c r="B138" s="10"/>
      <c r="C138" s="11" t="str">
        <f aca="false">IF(B138="","",CHOOSE(WEEKDAY(B138),"Sun","Mon","Tue","Wed","Thu","Fri","Sat"))</f>
        <v/>
      </c>
      <c r="D138" s="12"/>
      <c r="E138" s="12"/>
      <c r="F138" s="13" t="str">
        <f aca="false">IF(OR(D138="",E138=""),"",IF(E138&gt;D138,(E138-D138)*24,""))</f>
        <v/>
      </c>
      <c r="G138" s="9"/>
      <c r="H138" s="11" t="str">
        <f aca="false">IF(OR(A138="",B138="",D138="",E138=""),"",IF(E138&lt;=D138,"End before start",IF(COUNTIFS($B$9:$B$208,B138,$D$9:$D$208,"&lt;"&amp;(E138-1/1440),$E$9:$E$208,"&gt;"&amp;(D138+1/1440))&gt;1,"CONFLICT","OK")))</f>
        <v/>
      </c>
    </row>
    <row r="139" customFormat="false" ht="15" hidden="false" customHeight="false" outlineLevel="0" collapsed="false">
      <c r="A139" s="9"/>
      <c r="B139" s="10"/>
      <c r="C139" s="11" t="str">
        <f aca="false">IF(B139="","",CHOOSE(WEEKDAY(B139),"Sun","Mon","Tue","Wed","Thu","Fri","Sat"))</f>
        <v/>
      </c>
      <c r="D139" s="12"/>
      <c r="E139" s="12"/>
      <c r="F139" s="13" t="str">
        <f aca="false">IF(OR(D139="",E139=""),"",IF(E139&gt;D139,(E139-D139)*24,""))</f>
        <v/>
      </c>
      <c r="G139" s="9"/>
      <c r="H139" s="11" t="str">
        <f aca="false">IF(OR(A139="",B139="",D139="",E139=""),"",IF(E139&lt;=D139,"End before start",IF(COUNTIFS($B$9:$B$208,B139,$D$9:$D$208,"&lt;"&amp;(E139-1/1440),$E$9:$E$208,"&gt;"&amp;(D139+1/1440))&gt;1,"CONFLICT","OK")))</f>
        <v/>
      </c>
    </row>
    <row r="140" customFormat="false" ht="15" hidden="false" customHeight="false" outlineLevel="0" collapsed="false">
      <c r="A140" s="9"/>
      <c r="B140" s="10"/>
      <c r="C140" s="11" t="str">
        <f aca="false">IF(B140="","",CHOOSE(WEEKDAY(B140),"Sun","Mon","Tue","Wed","Thu","Fri","Sat"))</f>
        <v/>
      </c>
      <c r="D140" s="12"/>
      <c r="E140" s="12"/>
      <c r="F140" s="13" t="str">
        <f aca="false">IF(OR(D140="",E140=""),"",IF(E140&gt;D140,(E140-D140)*24,""))</f>
        <v/>
      </c>
      <c r="G140" s="9"/>
      <c r="H140" s="11" t="str">
        <f aca="false">IF(OR(A140="",B140="",D140="",E140=""),"",IF(E140&lt;=D140,"End before start",IF(COUNTIFS($B$9:$B$208,B140,$D$9:$D$208,"&lt;"&amp;(E140-1/1440),$E$9:$E$208,"&gt;"&amp;(D140+1/1440))&gt;1,"CONFLICT","OK")))</f>
        <v/>
      </c>
    </row>
    <row r="141" customFormat="false" ht="15" hidden="false" customHeight="false" outlineLevel="0" collapsed="false">
      <c r="A141" s="9"/>
      <c r="B141" s="10"/>
      <c r="C141" s="11" t="str">
        <f aca="false">IF(B141="","",CHOOSE(WEEKDAY(B141),"Sun","Mon","Tue","Wed","Thu","Fri","Sat"))</f>
        <v/>
      </c>
      <c r="D141" s="12"/>
      <c r="E141" s="12"/>
      <c r="F141" s="13" t="str">
        <f aca="false">IF(OR(D141="",E141=""),"",IF(E141&gt;D141,(E141-D141)*24,""))</f>
        <v/>
      </c>
      <c r="G141" s="9"/>
      <c r="H141" s="11" t="str">
        <f aca="false">IF(OR(A141="",B141="",D141="",E141=""),"",IF(E141&lt;=D141,"End before start",IF(COUNTIFS($B$9:$B$208,B141,$D$9:$D$208,"&lt;"&amp;(E141-1/1440),$E$9:$E$208,"&gt;"&amp;(D141+1/1440))&gt;1,"CONFLICT","OK")))</f>
        <v/>
      </c>
    </row>
    <row r="142" customFormat="false" ht="15" hidden="false" customHeight="false" outlineLevel="0" collapsed="false">
      <c r="A142" s="9"/>
      <c r="B142" s="10"/>
      <c r="C142" s="11" t="str">
        <f aca="false">IF(B142="","",CHOOSE(WEEKDAY(B142),"Sun","Mon","Tue","Wed","Thu","Fri","Sat"))</f>
        <v/>
      </c>
      <c r="D142" s="12"/>
      <c r="E142" s="12"/>
      <c r="F142" s="13" t="str">
        <f aca="false">IF(OR(D142="",E142=""),"",IF(E142&gt;D142,(E142-D142)*24,""))</f>
        <v/>
      </c>
      <c r="G142" s="9"/>
      <c r="H142" s="11" t="str">
        <f aca="false">IF(OR(A142="",B142="",D142="",E142=""),"",IF(E142&lt;=D142,"End before start",IF(COUNTIFS($B$9:$B$208,B142,$D$9:$D$208,"&lt;"&amp;(E142-1/1440),$E$9:$E$208,"&gt;"&amp;(D142+1/1440))&gt;1,"CONFLICT","OK")))</f>
        <v/>
      </c>
    </row>
    <row r="143" customFormat="false" ht="15" hidden="false" customHeight="false" outlineLevel="0" collapsed="false">
      <c r="A143" s="9"/>
      <c r="B143" s="10"/>
      <c r="C143" s="11" t="str">
        <f aca="false">IF(B143="","",CHOOSE(WEEKDAY(B143),"Sun","Mon","Tue","Wed","Thu","Fri","Sat"))</f>
        <v/>
      </c>
      <c r="D143" s="12"/>
      <c r="E143" s="12"/>
      <c r="F143" s="13" t="str">
        <f aca="false">IF(OR(D143="",E143=""),"",IF(E143&gt;D143,(E143-D143)*24,""))</f>
        <v/>
      </c>
      <c r="G143" s="9"/>
      <c r="H143" s="11" t="str">
        <f aca="false">IF(OR(A143="",B143="",D143="",E143=""),"",IF(E143&lt;=D143,"End before start",IF(COUNTIFS($B$9:$B$208,B143,$D$9:$D$208,"&lt;"&amp;(E143-1/1440),$E$9:$E$208,"&gt;"&amp;(D143+1/1440))&gt;1,"CONFLICT","OK")))</f>
        <v/>
      </c>
    </row>
    <row r="144" customFormat="false" ht="15" hidden="false" customHeight="false" outlineLevel="0" collapsed="false">
      <c r="A144" s="9"/>
      <c r="B144" s="10"/>
      <c r="C144" s="11" t="str">
        <f aca="false">IF(B144="","",CHOOSE(WEEKDAY(B144),"Sun","Mon","Tue","Wed","Thu","Fri","Sat"))</f>
        <v/>
      </c>
      <c r="D144" s="12"/>
      <c r="E144" s="12"/>
      <c r="F144" s="13" t="str">
        <f aca="false">IF(OR(D144="",E144=""),"",IF(E144&gt;D144,(E144-D144)*24,""))</f>
        <v/>
      </c>
      <c r="G144" s="9"/>
      <c r="H144" s="11" t="str">
        <f aca="false">IF(OR(A144="",B144="",D144="",E144=""),"",IF(E144&lt;=D144,"End before start",IF(COUNTIFS($B$9:$B$208,B144,$D$9:$D$208,"&lt;"&amp;(E144-1/1440),$E$9:$E$208,"&gt;"&amp;(D144+1/1440))&gt;1,"CONFLICT","OK")))</f>
        <v/>
      </c>
    </row>
    <row r="145" customFormat="false" ht="15" hidden="false" customHeight="false" outlineLevel="0" collapsed="false">
      <c r="A145" s="9"/>
      <c r="B145" s="10"/>
      <c r="C145" s="11" t="str">
        <f aca="false">IF(B145="","",CHOOSE(WEEKDAY(B145),"Sun","Mon","Tue","Wed","Thu","Fri","Sat"))</f>
        <v/>
      </c>
      <c r="D145" s="12"/>
      <c r="E145" s="12"/>
      <c r="F145" s="13" t="str">
        <f aca="false">IF(OR(D145="",E145=""),"",IF(E145&gt;D145,(E145-D145)*24,""))</f>
        <v/>
      </c>
      <c r="G145" s="9"/>
      <c r="H145" s="11" t="str">
        <f aca="false">IF(OR(A145="",B145="",D145="",E145=""),"",IF(E145&lt;=D145,"End before start",IF(COUNTIFS($B$9:$B$208,B145,$D$9:$D$208,"&lt;"&amp;(E145-1/1440),$E$9:$E$208,"&gt;"&amp;(D145+1/1440))&gt;1,"CONFLICT","OK")))</f>
        <v/>
      </c>
    </row>
    <row r="146" customFormat="false" ht="15" hidden="false" customHeight="false" outlineLevel="0" collapsed="false">
      <c r="A146" s="9"/>
      <c r="B146" s="10"/>
      <c r="C146" s="11" t="str">
        <f aca="false">IF(B146="","",CHOOSE(WEEKDAY(B146),"Sun","Mon","Tue","Wed","Thu","Fri","Sat"))</f>
        <v/>
      </c>
      <c r="D146" s="12"/>
      <c r="E146" s="12"/>
      <c r="F146" s="13" t="str">
        <f aca="false">IF(OR(D146="",E146=""),"",IF(E146&gt;D146,(E146-D146)*24,""))</f>
        <v/>
      </c>
      <c r="G146" s="9"/>
      <c r="H146" s="11" t="str">
        <f aca="false">IF(OR(A146="",B146="",D146="",E146=""),"",IF(E146&lt;=D146,"End before start",IF(COUNTIFS($B$9:$B$208,B146,$D$9:$D$208,"&lt;"&amp;(E146-1/1440),$E$9:$E$208,"&gt;"&amp;(D146+1/1440))&gt;1,"CONFLICT","OK")))</f>
        <v/>
      </c>
    </row>
    <row r="147" customFormat="false" ht="15" hidden="false" customHeight="false" outlineLevel="0" collapsed="false">
      <c r="A147" s="9"/>
      <c r="B147" s="10"/>
      <c r="C147" s="11" t="str">
        <f aca="false">IF(B147="","",CHOOSE(WEEKDAY(B147),"Sun","Mon","Tue","Wed","Thu","Fri","Sat"))</f>
        <v/>
      </c>
      <c r="D147" s="12"/>
      <c r="E147" s="12"/>
      <c r="F147" s="13" t="str">
        <f aca="false">IF(OR(D147="",E147=""),"",IF(E147&gt;D147,(E147-D147)*24,""))</f>
        <v/>
      </c>
      <c r="G147" s="9"/>
      <c r="H147" s="11" t="str">
        <f aca="false">IF(OR(A147="",B147="",D147="",E147=""),"",IF(E147&lt;=D147,"End before start",IF(COUNTIFS($B$9:$B$208,B147,$D$9:$D$208,"&lt;"&amp;(E147-1/1440),$E$9:$E$208,"&gt;"&amp;(D147+1/1440))&gt;1,"CONFLICT","OK")))</f>
        <v/>
      </c>
    </row>
    <row r="148" customFormat="false" ht="15" hidden="false" customHeight="false" outlineLevel="0" collapsed="false">
      <c r="A148" s="9"/>
      <c r="B148" s="10"/>
      <c r="C148" s="11" t="str">
        <f aca="false">IF(B148="","",CHOOSE(WEEKDAY(B148),"Sun","Mon","Tue","Wed","Thu","Fri","Sat"))</f>
        <v/>
      </c>
      <c r="D148" s="12"/>
      <c r="E148" s="12"/>
      <c r="F148" s="13" t="str">
        <f aca="false">IF(OR(D148="",E148=""),"",IF(E148&gt;D148,(E148-D148)*24,""))</f>
        <v/>
      </c>
      <c r="G148" s="9"/>
      <c r="H148" s="11" t="str">
        <f aca="false">IF(OR(A148="",B148="",D148="",E148=""),"",IF(E148&lt;=D148,"End before start",IF(COUNTIFS($B$9:$B$208,B148,$D$9:$D$208,"&lt;"&amp;(E148-1/1440),$E$9:$E$208,"&gt;"&amp;(D148+1/1440))&gt;1,"CONFLICT","OK")))</f>
        <v/>
      </c>
    </row>
    <row r="149" customFormat="false" ht="15" hidden="false" customHeight="false" outlineLevel="0" collapsed="false">
      <c r="A149" s="9"/>
      <c r="B149" s="10"/>
      <c r="C149" s="11" t="str">
        <f aca="false">IF(B149="","",CHOOSE(WEEKDAY(B149),"Sun","Mon","Tue","Wed","Thu","Fri","Sat"))</f>
        <v/>
      </c>
      <c r="D149" s="12"/>
      <c r="E149" s="12"/>
      <c r="F149" s="13" t="str">
        <f aca="false">IF(OR(D149="",E149=""),"",IF(E149&gt;D149,(E149-D149)*24,""))</f>
        <v/>
      </c>
      <c r="G149" s="9"/>
      <c r="H149" s="11" t="str">
        <f aca="false">IF(OR(A149="",B149="",D149="",E149=""),"",IF(E149&lt;=D149,"End before start",IF(COUNTIFS($B$9:$B$208,B149,$D$9:$D$208,"&lt;"&amp;(E149-1/1440),$E$9:$E$208,"&gt;"&amp;(D149+1/1440))&gt;1,"CONFLICT","OK")))</f>
        <v/>
      </c>
    </row>
    <row r="150" customFormat="false" ht="15" hidden="false" customHeight="false" outlineLevel="0" collapsed="false">
      <c r="A150" s="9"/>
      <c r="B150" s="10"/>
      <c r="C150" s="11" t="str">
        <f aca="false">IF(B150="","",CHOOSE(WEEKDAY(B150),"Sun","Mon","Tue","Wed","Thu","Fri","Sat"))</f>
        <v/>
      </c>
      <c r="D150" s="12"/>
      <c r="E150" s="12"/>
      <c r="F150" s="13" t="str">
        <f aca="false">IF(OR(D150="",E150=""),"",IF(E150&gt;D150,(E150-D150)*24,""))</f>
        <v/>
      </c>
      <c r="G150" s="9"/>
      <c r="H150" s="11" t="str">
        <f aca="false">IF(OR(A150="",B150="",D150="",E150=""),"",IF(E150&lt;=D150,"End before start",IF(COUNTIFS($B$9:$B$208,B150,$D$9:$D$208,"&lt;"&amp;(E150-1/1440),$E$9:$E$208,"&gt;"&amp;(D150+1/1440))&gt;1,"CONFLICT","OK")))</f>
        <v/>
      </c>
    </row>
    <row r="151" customFormat="false" ht="15" hidden="false" customHeight="false" outlineLevel="0" collapsed="false">
      <c r="A151" s="9"/>
      <c r="B151" s="10"/>
      <c r="C151" s="11" t="str">
        <f aca="false">IF(B151="","",CHOOSE(WEEKDAY(B151),"Sun","Mon","Tue","Wed","Thu","Fri","Sat"))</f>
        <v/>
      </c>
      <c r="D151" s="12"/>
      <c r="E151" s="12"/>
      <c r="F151" s="13" t="str">
        <f aca="false">IF(OR(D151="",E151=""),"",IF(E151&gt;D151,(E151-D151)*24,""))</f>
        <v/>
      </c>
      <c r="G151" s="9"/>
      <c r="H151" s="11" t="str">
        <f aca="false">IF(OR(A151="",B151="",D151="",E151=""),"",IF(E151&lt;=D151,"End before start",IF(COUNTIFS($B$9:$B$208,B151,$D$9:$D$208,"&lt;"&amp;(E151-1/1440),$E$9:$E$208,"&gt;"&amp;(D151+1/1440))&gt;1,"CONFLICT","OK")))</f>
        <v/>
      </c>
    </row>
    <row r="152" customFormat="false" ht="15" hidden="false" customHeight="false" outlineLevel="0" collapsed="false">
      <c r="A152" s="9"/>
      <c r="B152" s="10"/>
      <c r="C152" s="11" t="str">
        <f aca="false">IF(B152="","",CHOOSE(WEEKDAY(B152),"Sun","Mon","Tue","Wed","Thu","Fri","Sat"))</f>
        <v/>
      </c>
      <c r="D152" s="12"/>
      <c r="E152" s="12"/>
      <c r="F152" s="13" t="str">
        <f aca="false">IF(OR(D152="",E152=""),"",IF(E152&gt;D152,(E152-D152)*24,""))</f>
        <v/>
      </c>
      <c r="G152" s="9"/>
      <c r="H152" s="11" t="str">
        <f aca="false">IF(OR(A152="",B152="",D152="",E152=""),"",IF(E152&lt;=D152,"End before start",IF(COUNTIFS($B$9:$B$208,B152,$D$9:$D$208,"&lt;"&amp;(E152-1/1440),$E$9:$E$208,"&gt;"&amp;(D152+1/1440))&gt;1,"CONFLICT","OK")))</f>
        <v/>
      </c>
    </row>
    <row r="153" customFormat="false" ht="15" hidden="false" customHeight="false" outlineLevel="0" collapsed="false">
      <c r="A153" s="9"/>
      <c r="B153" s="10"/>
      <c r="C153" s="11" t="str">
        <f aca="false">IF(B153="","",CHOOSE(WEEKDAY(B153),"Sun","Mon","Tue","Wed","Thu","Fri","Sat"))</f>
        <v/>
      </c>
      <c r="D153" s="12"/>
      <c r="E153" s="12"/>
      <c r="F153" s="13" t="str">
        <f aca="false">IF(OR(D153="",E153=""),"",IF(E153&gt;D153,(E153-D153)*24,""))</f>
        <v/>
      </c>
      <c r="G153" s="9"/>
      <c r="H153" s="11" t="str">
        <f aca="false">IF(OR(A153="",B153="",D153="",E153=""),"",IF(E153&lt;=D153,"End before start",IF(COUNTIFS($B$9:$B$208,B153,$D$9:$D$208,"&lt;"&amp;(E153-1/1440),$E$9:$E$208,"&gt;"&amp;(D153+1/1440))&gt;1,"CONFLICT","OK")))</f>
        <v/>
      </c>
    </row>
    <row r="154" customFormat="false" ht="15" hidden="false" customHeight="false" outlineLevel="0" collapsed="false">
      <c r="A154" s="9"/>
      <c r="B154" s="10"/>
      <c r="C154" s="11" t="str">
        <f aca="false">IF(B154="","",CHOOSE(WEEKDAY(B154),"Sun","Mon","Tue","Wed","Thu","Fri","Sat"))</f>
        <v/>
      </c>
      <c r="D154" s="12"/>
      <c r="E154" s="12"/>
      <c r="F154" s="13" t="str">
        <f aca="false">IF(OR(D154="",E154=""),"",IF(E154&gt;D154,(E154-D154)*24,""))</f>
        <v/>
      </c>
      <c r="G154" s="9"/>
      <c r="H154" s="11" t="str">
        <f aca="false">IF(OR(A154="",B154="",D154="",E154=""),"",IF(E154&lt;=D154,"End before start",IF(COUNTIFS($B$9:$B$208,B154,$D$9:$D$208,"&lt;"&amp;(E154-1/1440),$E$9:$E$208,"&gt;"&amp;(D154+1/1440))&gt;1,"CONFLICT","OK")))</f>
        <v/>
      </c>
    </row>
    <row r="155" customFormat="false" ht="15" hidden="false" customHeight="false" outlineLevel="0" collapsed="false">
      <c r="A155" s="9"/>
      <c r="B155" s="10"/>
      <c r="C155" s="11" t="str">
        <f aca="false">IF(B155="","",CHOOSE(WEEKDAY(B155),"Sun","Mon","Tue","Wed","Thu","Fri","Sat"))</f>
        <v/>
      </c>
      <c r="D155" s="12"/>
      <c r="E155" s="12"/>
      <c r="F155" s="13" t="str">
        <f aca="false">IF(OR(D155="",E155=""),"",IF(E155&gt;D155,(E155-D155)*24,""))</f>
        <v/>
      </c>
      <c r="G155" s="9"/>
      <c r="H155" s="11" t="str">
        <f aca="false">IF(OR(A155="",B155="",D155="",E155=""),"",IF(E155&lt;=D155,"End before start",IF(COUNTIFS($B$9:$B$208,B155,$D$9:$D$208,"&lt;"&amp;(E155-1/1440),$E$9:$E$208,"&gt;"&amp;(D155+1/1440))&gt;1,"CONFLICT","OK")))</f>
        <v/>
      </c>
    </row>
    <row r="156" customFormat="false" ht="15" hidden="false" customHeight="false" outlineLevel="0" collapsed="false">
      <c r="A156" s="9"/>
      <c r="B156" s="10"/>
      <c r="C156" s="11" t="str">
        <f aca="false">IF(B156="","",CHOOSE(WEEKDAY(B156),"Sun","Mon","Tue","Wed","Thu","Fri","Sat"))</f>
        <v/>
      </c>
      <c r="D156" s="12"/>
      <c r="E156" s="12"/>
      <c r="F156" s="13" t="str">
        <f aca="false">IF(OR(D156="",E156=""),"",IF(E156&gt;D156,(E156-D156)*24,""))</f>
        <v/>
      </c>
      <c r="G156" s="9"/>
      <c r="H156" s="11" t="str">
        <f aca="false">IF(OR(A156="",B156="",D156="",E156=""),"",IF(E156&lt;=D156,"End before start",IF(COUNTIFS($B$9:$B$208,B156,$D$9:$D$208,"&lt;"&amp;(E156-1/1440),$E$9:$E$208,"&gt;"&amp;(D156+1/1440))&gt;1,"CONFLICT","OK")))</f>
        <v/>
      </c>
    </row>
    <row r="157" customFormat="false" ht="15" hidden="false" customHeight="false" outlineLevel="0" collapsed="false">
      <c r="A157" s="9"/>
      <c r="B157" s="10"/>
      <c r="C157" s="11" t="str">
        <f aca="false">IF(B157="","",CHOOSE(WEEKDAY(B157),"Sun","Mon","Tue","Wed","Thu","Fri","Sat"))</f>
        <v/>
      </c>
      <c r="D157" s="12"/>
      <c r="E157" s="12"/>
      <c r="F157" s="13" t="str">
        <f aca="false">IF(OR(D157="",E157=""),"",IF(E157&gt;D157,(E157-D157)*24,""))</f>
        <v/>
      </c>
      <c r="G157" s="9"/>
      <c r="H157" s="11" t="str">
        <f aca="false">IF(OR(A157="",B157="",D157="",E157=""),"",IF(E157&lt;=D157,"End before start",IF(COUNTIFS($B$9:$B$208,B157,$D$9:$D$208,"&lt;"&amp;(E157-1/1440),$E$9:$E$208,"&gt;"&amp;(D157+1/1440))&gt;1,"CONFLICT","OK")))</f>
        <v/>
      </c>
    </row>
    <row r="158" customFormat="false" ht="15" hidden="false" customHeight="false" outlineLevel="0" collapsed="false">
      <c r="A158" s="9"/>
      <c r="B158" s="10"/>
      <c r="C158" s="11" t="str">
        <f aca="false">IF(B158="","",CHOOSE(WEEKDAY(B158),"Sun","Mon","Tue","Wed","Thu","Fri","Sat"))</f>
        <v/>
      </c>
      <c r="D158" s="12"/>
      <c r="E158" s="12"/>
      <c r="F158" s="13" t="str">
        <f aca="false">IF(OR(D158="",E158=""),"",IF(E158&gt;D158,(E158-D158)*24,""))</f>
        <v/>
      </c>
      <c r="G158" s="9"/>
      <c r="H158" s="11" t="str">
        <f aca="false">IF(OR(A158="",B158="",D158="",E158=""),"",IF(E158&lt;=D158,"End before start",IF(COUNTIFS($B$9:$B$208,B158,$D$9:$D$208,"&lt;"&amp;(E158-1/1440),$E$9:$E$208,"&gt;"&amp;(D158+1/1440))&gt;1,"CONFLICT","OK")))</f>
        <v/>
      </c>
    </row>
    <row r="159" customFormat="false" ht="15" hidden="false" customHeight="false" outlineLevel="0" collapsed="false">
      <c r="A159" s="9"/>
      <c r="B159" s="10"/>
      <c r="C159" s="11" t="str">
        <f aca="false">IF(B159="","",CHOOSE(WEEKDAY(B159),"Sun","Mon","Tue","Wed","Thu","Fri","Sat"))</f>
        <v/>
      </c>
      <c r="D159" s="12"/>
      <c r="E159" s="12"/>
      <c r="F159" s="13" t="str">
        <f aca="false">IF(OR(D159="",E159=""),"",IF(E159&gt;D159,(E159-D159)*24,""))</f>
        <v/>
      </c>
      <c r="G159" s="9"/>
      <c r="H159" s="11" t="str">
        <f aca="false">IF(OR(A159="",B159="",D159="",E159=""),"",IF(E159&lt;=D159,"End before start",IF(COUNTIFS($B$9:$B$208,B159,$D$9:$D$208,"&lt;"&amp;(E159-1/1440),$E$9:$E$208,"&gt;"&amp;(D159+1/1440))&gt;1,"CONFLICT","OK")))</f>
        <v/>
      </c>
    </row>
    <row r="160" customFormat="false" ht="15" hidden="false" customHeight="false" outlineLevel="0" collapsed="false">
      <c r="A160" s="9"/>
      <c r="B160" s="10"/>
      <c r="C160" s="11" t="str">
        <f aca="false">IF(B160="","",CHOOSE(WEEKDAY(B160),"Sun","Mon","Tue","Wed","Thu","Fri","Sat"))</f>
        <v/>
      </c>
      <c r="D160" s="12"/>
      <c r="E160" s="12"/>
      <c r="F160" s="13" t="str">
        <f aca="false">IF(OR(D160="",E160=""),"",IF(E160&gt;D160,(E160-D160)*24,""))</f>
        <v/>
      </c>
      <c r="G160" s="9"/>
      <c r="H160" s="11" t="str">
        <f aca="false">IF(OR(A160="",B160="",D160="",E160=""),"",IF(E160&lt;=D160,"End before start",IF(COUNTIFS($B$9:$B$208,B160,$D$9:$D$208,"&lt;"&amp;(E160-1/1440),$E$9:$E$208,"&gt;"&amp;(D160+1/1440))&gt;1,"CONFLICT","OK")))</f>
        <v/>
      </c>
    </row>
    <row r="161" customFormat="false" ht="15" hidden="false" customHeight="false" outlineLevel="0" collapsed="false">
      <c r="A161" s="9"/>
      <c r="B161" s="10"/>
      <c r="C161" s="11" t="str">
        <f aca="false">IF(B161="","",CHOOSE(WEEKDAY(B161),"Sun","Mon","Tue","Wed","Thu","Fri","Sat"))</f>
        <v/>
      </c>
      <c r="D161" s="12"/>
      <c r="E161" s="12"/>
      <c r="F161" s="13" t="str">
        <f aca="false">IF(OR(D161="",E161=""),"",IF(E161&gt;D161,(E161-D161)*24,""))</f>
        <v/>
      </c>
      <c r="G161" s="9"/>
      <c r="H161" s="11" t="str">
        <f aca="false">IF(OR(A161="",B161="",D161="",E161=""),"",IF(E161&lt;=D161,"End before start",IF(COUNTIFS($B$9:$B$208,B161,$D$9:$D$208,"&lt;"&amp;(E161-1/1440),$E$9:$E$208,"&gt;"&amp;(D161+1/1440))&gt;1,"CONFLICT","OK")))</f>
        <v/>
      </c>
    </row>
    <row r="162" customFormat="false" ht="15" hidden="false" customHeight="false" outlineLevel="0" collapsed="false">
      <c r="A162" s="9"/>
      <c r="B162" s="10"/>
      <c r="C162" s="11" t="str">
        <f aca="false">IF(B162="","",CHOOSE(WEEKDAY(B162),"Sun","Mon","Tue","Wed","Thu","Fri","Sat"))</f>
        <v/>
      </c>
      <c r="D162" s="12"/>
      <c r="E162" s="12"/>
      <c r="F162" s="13" t="str">
        <f aca="false">IF(OR(D162="",E162=""),"",IF(E162&gt;D162,(E162-D162)*24,""))</f>
        <v/>
      </c>
      <c r="G162" s="9"/>
      <c r="H162" s="11" t="str">
        <f aca="false">IF(OR(A162="",B162="",D162="",E162=""),"",IF(E162&lt;=D162,"End before start",IF(COUNTIFS($B$9:$B$208,B162,$D$9:$D$208,"&lt;"&amp;(E162-1/1440),$E$9:$E$208,"&gt;"&amp;(D162+1/1440))&gt;1,"CONFLICT","OK")))</f>
        <v/>
      </c>
    </row>
    <row r="163" customFormat="false" ht="15" hidden="false" customHeight="false" outlineLevel="0" collapsed="false">
      <c r="A163" s="9"/>
      <c r="B163" s="10"/>
      <c r="C163" s="11" t="str">
        <f aca="false">IF(B163="","",CHOOSE(WEEKDAY(B163),"Sun","Mon","Tue","Wed","Thu","Fri","Sat"))</f>
        <v/>
      </c>
      <c r="D163" s="12"/>
      <c r="E163" s="12"/>
      <c r="F163" s="13" t="str">
        <f aca="false">IF(OR(D163="",E163=""),"",IF(E163&gt;D163,(E163-D163)*24,""))</f>
        <v/>
      </c>
      <c r="G163" s="9"/>
      <c r="H163" s="11" t="str">
        <f aca="false">IF(OR(A163="",B163="",D163="",E163=""),"",IF(E163&lt;=D163,"End before start",IF(COUNTIFS($B$9:$B$208,B163,$D$9:$D$208,"&lt;"&amp;(E163-1/1440),$E$9:$E$208,"&gt;"&amp;(D163+1/1440))&gt;1,"CONFLICT","OK")))</f>
        <v/>
      </c>
    </row>
    <row r="164" customFormat="false" ht="15" hidden="false" customHeight="false" outlineLevel="0" collapsed="false">
      <c r="A164" s="9"/>
      <c r="B164" s="10"/>
      <c r="C164" s="11" t="str">
        <f aca="false">IF(B164="","",CHOOSE(WEEKDAY(B164),"Sun","Mon","Tue","Wed","Thu","Fri","Sat"))</f>
        <v/>
      </c>
      <c r="D164" s="12"/>
      <c r="E164" s="12"/>
      <c r="F164" s="13" t="str">
        <f aca="false">IF(OR(D164="",E164=""),"",IF(E164&gt;D164,(E164-D164)*24,""))</f>
        <v/>
      </c>
      <c r="G164" s="9"/>
      <c r="H164" s="11" t="str">
        <f aca="false">IF(OR(A164="",B164="",D164="",E164=""),"",IF(E164&lt;=D164,"End before start",IF(COUNTIFS($B$9:$B$208,B164,$D$9:$D$208,"&lt;"&amp;(E164-1/1440),$E$9:$E$208,"&gt;"&amp;(D164+1/1440))&gt;1,"CONFLICT","OK")))</f>
        <v/>
      </c>
    </row>
    <row r="165" customFormat="false" ht="15" hidden="false" customHeight="false" outlineLevel="0" collapsed="false">
      <c r="A165" s="9"/>
      <c r="B165" s="10"/>
      <c r="C165" s="11" t="str">
        <f aca="false">IF(B165="","",CHOOSE(WEEKDAY(B165),"Sun","Mon","Tue","Wed","Thu","Fri","Sat"))</f>
        <v/>
      </c>
      <c r="D165" s="12"/>
      <c r="E165" s="12"/>
      <c r="F165" s="13" t="str">
        <f aca="false">IF(OR(D165="",E165=""),"",IF(E165&gt;D165,(E165-D165)*24,""))</f>
        <v/>
      </c>
      <c r="G165" s="9"/>
      <c r="H165" s="11" t="str">
        <f aca="false">IF(OR(A165="",B165="",D165="",E165=""),"",IF(E165&lt;=D165,"End before start",IF(COUNTIFS($B$9:$B$208,B165,$D$9:$D$208,"&lt;"&amp;(E165-1/1440),$E$9:$E$208,"&gt;"&amp;(D165+1/1440))&gt;1,"CONFLICT","OK")))</f>
        <v/>
      </c>
    </row>
    <row r="166" customFormat="false" ht="15" hidden="false" customHeight="false" outlineLevel="0" collapsed="false">
      <c r="A166" s="9"/>
      <c r="B166" s="10"/>
      <c r="C166" s="11" t="str">
        <f aca="false">IF(B166="","",CHOOSE(WEEKDAY(B166),"Sun","Mon","Tue","Wed","Thu","Fri","Sat"))</f>
        <v/>
      </c>
      <c r="D166" s="12"/>
      <c r="E166" s="12"/>
      <c r="F166" s="13" t="str">
        <f aca="false">IF(OR(D166="",E166=""),"",IF(E166&gt;D166,(E166-D166)*24,""))</f>
        <v/>
      </c>
      <c r="G166" s="9"/>
      <c r="H166" s="11" t="str">
        <f aca="false">IF(OR(A166="",B166="",D166="",E166=""),"",IF(E166&lt;=D166,"End before start",IF(COUNTIFS($B$9:$B$208,B166,$D$9:$D$208,"&lt;"&amp;(E166-1/1440),$E$9:$E$208,"&gt;"&amp;(D166+1/1440))&gt;1,"CONFLICT","OK")))</f>
        <v/>
      </c>
    </row>
    <row r="167" customFormat="false" ht="15" hidden="false" customHeight="false" outlineLevel="0" collapsed="false">
      <c r="A167" s="9"/>
      <c r="B167" s="10"/>
      <c r="C167" s="11" t="str">
        <f aca="false">IF(B167="","",CHOOSE(WEEKDAY(B167),"Sun","Mon","Tue","Wed","Thu","Fri","Sat"))</f>
        <v/>
      </c>
      <c r="D167" s="12"/>
      <c r="E167" s="12"/>
      <c r="F167" s="13" t="str">
        <f aca="false">IF(OR(D167="",E167=""),"",IF(E167&gt;D167,(E167-D167)*24,""))</f>
        <v/>
      </c>
      <c r="G167" s="9"/>
      <c r="H167" s="11" t="str">
        <f aca="false">IF(OR(A167="",B167="",D167="",E167=""),"",IF(E167&lt;=D167,"End before start",IF(COUNTIFS($B$9:$B$208,B167,$D$9:$D$208,"&lt;"&amp;(E167-1/1440),$E$9:$E$208,"&gt;"&amp;(D167+1/1440))&gt;1,"CONFLICT","OK")))</f>
        <v/>
      </c>
    </row>
    <row r="168" customFormat="false" ht="15" hidden="false" customHeight="false" outlineLevel="0" collapsed="false">
      <c r="A168" s="9"/>
      <c r="B168" s="10"/>
      <c r="C168" s="11" t="str">
        <f aca="false">IF(B168="","",CHOOSE(WEEKDAY(B168),"Sun","Mon","Tue","Wed","Thu","Fri","Sat"))</f>
        <v/>
      </c>
      <c r="D168" s="12"/>
      <c r="E168" s="12"/>
      <c r="F168" s="13" t="str">
        <f aca="false">IF(OR(D168="",E168=""),"",IF(E168&gt;D168,(E168-D168)*24,""))</f>
        <v/>
      </c>
      <c r="G168" s="9"/>
      <c r="H168" s="11" t="str">
        <f aca="false">IF(OR(A168="",B168="",D168="",E168=""),"",IF(E168&lt;=D168,"End before start",IF(COUNTIFS($B$9:$B$208,B168,$D$9:$D$208,"&lt;"&amp;(E168-1/1440),$E$9:$E$208,"&gt;"&amp;(D168+1/1440))&gt;1,"CONFLICT","OK")))</f>
        <v/>
      </c>
    </row>
    <row r="169" customFormat="false" ht="15" hidden="false" customHeight="false" outlineLevel="0" collapsed="false">
      <c r="A169" s="9"/>
      <c r="B169" s="10"/>
      <c r="C169" s="11" t="str">
        <f aca="false">IF(B169="","",CHOOSE(WEEKDAY(B169),"Sun","Mon","Tue","Wed","Thu","Fri","Sat"))</f>
        <v/>
      </c>
      <c r="D169" s="12"/>
      <c r="E169" s="12"/>
      <c r="F169" s="13" t="str">
        <f aca="false">IF(OR(D169="",E169=""),"",IF(E169&gt;D169,(E169-D169)*24,""))</f>
        <v/>
      </c>
      <c r="G169" s="9"/>
      <c r="H169" s="11" t="str">
        <f aca="false">IF(OR(A169="",B169="",D169="",E169=""),"",IF(E169&lt;=D169,"End before start",IF(COUNTIFS($B$9:$B$208,B169,$D$9:$D$208,"&lt;"&amp;(E169-1/1440),$E$9:$E$208,"&gt;"&amp;(D169+1/1440))&gt;1,"CONFLICT","OK")))</f>
        <v/>
      </c>
    </row>
    <row r="170" customFormat="false" ht="15" hidden="false" customHeight="false" outlineLevel="0" collapsed="false">
      <c r="A170" s="9"/>
      <c r="B170" s="10"/>
      <c r="C170" s="11" t="str">
        <f aca="false">IF(B170="","",CHOOSE(WEEKDAY(B170),"Sun","Mon","Tue","Wed","Thu","Fri","Sat"))</f>
        <v/>
      </c>
      <c r="D170" s="12"/>
      <c r="E170" s="12"/>
      <c r="F170" s="13" t="str">
        <f aca="false">IF(OR(D170="",E170=""),"",IF(E170&gt;D170,(E170-D170)*24,""))</f>
        <v/>
      </c>
      <c r="G170" s="9"/>
      <c r="H170" s="11" t="str">
        <f aca="false">IF(OR(A170="",B170="",D170="",E170=""),"",IF(E170&lt;=D170,"End before start",IF(COUNTIFS($B$9:$B$208,B170,$D$9:$D$208,"&lt;"&amp;(E170-1/1440),$E$9:$E$208,"&gt;"&amp;(D170+1/1440))&gt;1,"CONFLICT","OK")))</f>
        <v/>
      </c>
    </row>
    <row r="171" customFormat="false" ht="15" hidden="false" customHeight="false" outlineLevel="0" collapsed="false">
      <c r="A171" s="9"/>
      <c r="B171" s="10"/>
      <c r="C171" s="11" t="str">
        <f aca="false">IF(B171="","",CHOOSE(WEEKDAY(B171),"Sun","Mon","Tue","Wed","Thu","Fri","Sat"))</f>
        <v/>
      </c>
      <c r="D171" s="12"/>
      <c r="E171" s="12"/>
      <c r="F171" s="13" t="str">
        <f aca="false">IF(OR(D171="",E171=""),"",IF(E171&gt;D171,(E171-D171)*24,""))</f>
        <v/>
      </c>
      <c r="G171" s="9"/>
      <c r="H171" s="11" t="str">
        <f aca="false">IF(OR(A171="",B171="",D171="",E171=""),"",IF(E171&lt;=D171,"End before start",IF(COUNTIFS($B$9:$B$208,B171,$D$9:$D$208,"&lt;"&amp;(E171-1/1440),$E$9:$E$208,"&gt;"&amp;(D171+1/1440))&gt;1,"CONFLICT","OK")))</f>
        <v/>
      </c>
    </row>
    <row r="172" customFormat="false" ht="15" hidden="false" customHeight="false" outlineLevel="0" collapsed="false">
      <c r="A172" s="9"/>
      <c r="B172" s="10"/>
      <c r="C172" s="11" t="str">
        <f aca="false">IF(B172="","",CHOOSE(WEEKDAY(B172),"Sun","Mon","Tue","Wed","Thu","Fri","Sat"))</f>
        <v/>
      </c>
      <c r="D172" s="12"/>
      <c r="E172" s="12"/>
      <c r="F172" s="13" t="str">
        <f aca="false">IF(OR(D172="",E172=""),"",IF(E172&gt;D172,(E172-D172)*24,""))</f>
        <v/>
      </c>
      <c r="G172" s="9"/>
      <c r="H172" s="11" t="str">
        <f aca="false">IF(OR(A172="",B172="",D172="",E172=""),"",IF(E172&lt;=D172,"End before start",IF(COUNTIFS($B$9:$B$208,B172,$D$9:$D$208,"&lt;"&amp;(E172-1/1440),$E$9:$E$208,"&gt;"&amp;(D172+1/1440))&gt;1,"CONFLICT","OK")))</f>
        <v/>
      </c>
    </row>
    <row r="173" customFormat="false" ht="15" hidden="false" customHeight="false" outlineLevel="0" collapsed="false">
      <c r="A173" s="9"/>
      <c r="B173" s="10"/>
      <c r="C173" s="11" t="str">
        <f aca="false">IF(B173="","",CHOOSE(WEEKDAY(B173),"Sun","Mon","Tue","Wed","Thu","Fri","Sat"))</f>
        <v/>
      </c>
      <c r="D173" s="12"/>
      <c r="E173" s="12"/>
      <c r="F173" s="13" t="str">
        <f aca="false">IF(OR(D173="",E173=""),"",IF(E173&gt;D173,(E173-D173)*24,""))</f>
        <v/>
      </c>
      <c r="G173" s="9"/>
      <c r="H173" s="11" t="str">
        <f aca="false">IF(OR(A173="",B173="",D173="",E173=""),"",IF(E173&lt;=D173,"End before start",IF(COUNTIFS($B$9:$B$208,B173,$D$9:$D$208,"&lt;"&amp;(E173-1/1440),$E$9:$E$208,"&gt;"&amp;(D173+1/1440))&gt;1,"CONFLICT","OK")))</f>
        <v/>
      </c>
    </row>
    <row r="174" customFormat="false" ht="15" hidden="false" customHeight="false" outlineLevel="0" collapsed="false">
      <c r="A174" s="9"/>
      <c r="B174" s="10"/>
      <c r="C174" s="11" t="str">
        <f aca="false">IF(B174="","",CHOOSE(WEEKDAY(B174),"Sun","Mon","Tue","Wed","Thu","Fri","Sat"))</f>
        <v/>
      </c>
      <c r="D174" s="12"/>
      <c r="E174" s="12"/>
      <c r="F174" s="13" t="str">
        <f aca="false">IF(OR(D174="",E174=""),"",IF(E174&gt;D174,(E174-D174)*24,""))</f>
        <v/>
      </c>
      <c r="G174" s="9"/>
      <c r="H174" s="11" t="str">
        <f aca="false">IF(OR(A174="",B174="",D174="",E174=""),"",IF(E174&lt;=D174,"End before start",IF(COUNTIFS($B$9:$B$208,B174,$D$9:$D$208,"&lt;"&amp;(E174-1/1440),$E$9:$E$208,"&gt;"&amp;(D174+1/1440))&gt;1,"CONFLICT","OK")))</f>
        <v/>
      </c>
    </row>
    <row r="175" customFormat="false" ht="15" hidden="false" customHeight="false" outlineLevel="0" collapsed="false">
      <c r="A175" s="9"/>
      <c r="B175" s="10"/>
      <c r="C175" s="11" t="str">
        <f aca="false">IF(B175="","",CHOOSE(WEEKDAY(B175),"Sun","Mon","Tue","Wed","Thu","Fri","Sat"))</f>
        <v/>
      </c>
      <c r="D175" s="12"/>
      <c r="E175" s="12"/>
      <c r="F175" s="13" t="str">
        <f aca="false">IF(OR(D175="",E175=""),"",IF(E175&gt;D175,(E175-D175)*24,""))</f>
        <v/>
      </c>
      <c r="G175" s="9"/>
      <c r="H175" s="11" t="str">
        <f aca="false">IF(OR(A175="",B175="",D175="",E175=""),"",IF(E175&lt;=D175,"End before start",IF(COUNTIFS($B$9:$B$208,B175,$D$9:$D$208,"&lt;"&amp;(E175-1/1440),$E$9:$E$208,"&gt;"&amp;(D175+1/1440))&gt;1,"CONFLICT","OK")))</f>
        <v/>
      </c>
    </row>
    <row r="176" customFormat="false" ht="15" hidden="false" customHeight="false" outlineLevel="0" collapsed="false">
      <c r="A176" s="9"/>
      <c r="B176" s="10"/>
      <c r="C176" s="11" t="str">
        <f aca="false">IF(B176="","",CHOOSE(WEEKDAY(B176),"Sun","Mon","Tue","Wed","Thu","Fri","Sat"))</f>
        <v/>
      </c>
      <c r="D176" s="12"/>
      <c r="E176" s="12"/>
      <c r="F176" s="13" t="str">
        <f aca="false">IF(OR(D176="",E176=""),"",IF(E176&gt;D176,(E176-D176)*24,""))</f>
        <v/>
      </c>
      <c r="G176" s="9"/>
      <c r="H176" s="11" t="str">
        <f aca="false">IF(OR(A176="",B176="",D176="",E176=""),"",IF(E176&lt;=D176,"End before start",IF(COUNTIFS($B$9:$B$208,B176,$D$9:$D$208,"&lt;"&amp;(E176-1/1440),$E$9:$E$208,"&gt;"&amp;(D176+1/1440))&gt;1,"CONFLICT","OK")))</f>
        <v/>
      </c>
    </row>
    <row r="177" customFormat="false" ht="15" hidden="false" customHeight="false" outlineLevel="0" collapsed="false">
      <c r="A177" s="9"/>
      <c r="B177" s="10"/>
      <c r="C177" s="11" t="str">
        <f aca="false">IF(B177="","",CHOOSE(WEEKDAY(B177),"Sun","Mon","Tue","Wed","Thu","Fri","Sat"))</f>
        <v/>
      </c>
      <c r="D177" s="12"/>
      <c r="E177" s="12"/>
      <c r="F177" s="13" t="str">
        <f aca="false">IF(OR(D177="",E177=""),"",IF(E177&gt;D177,(E177-D177)*24,""))</f>
        <v/>
      </c>
      <c r="G177" s="9"/>
      <c r="H177" s="11" t="str">
        <f aca="false">IF(OR(A177="",B177="",D177="",E177=""),"",IF(E177&lt;=D177,"End before start",IF(COUNTIFS($B$9:$B$208,B177,$D$9:$D$208,"&lt;"&amp;(E177-1/1440),$E$9:$E$208,"&gt;"&amp;(D177+1/1440))&gt;1,"CONFLICT","OK")))</f>
        <v/>
      </c>
    </row>
    <row r="178" customFormat="false" ht="15" hidden="false" customHeight="false" outlineLevel="0" collapsed="false">
      <c r="A178" s="9"/>
      <c r="B178" s="10"/>
      <c r="C178" s="11" t="str">
        <f aca="false">IF(B178="","",CHOOSE(WEEKDAY(B178),"Sun","Mon","Tue","Wed","Thu","Fri","Sat"))</f>
        <v/>
      </c>
      <c r="D178" s="12"/>
      <c r="E178" s="12"/>
      <c r="F178" s="13" t="str">
        <f aca="false">IF(OR(D178="",E178=""),"",IF(E178&gt;D178,(E178-D178)*24,""))</f>
        <v/>
      </c>
      <c r="G178" s="9"/>
      <c r="H178" s="11" t="str">
        <f aca="false">IF(OR(A178="",B178="",D178="",E178=""),"",IF(E178&lt;=D178,"End before start",IF(COUNTIFS($B$9:$B$208,B178,$D$9:$D$208,"&lt;"&amp;(E178-1/1440),$E$9:$E$208,"&gt;"&amp;(D178+1/1440))&gt;1,"CONFLICT","OK")))</f>
        <v/>
      </c>
    </row>
    <row r="179" customFormat="false" ht="15" hidden="false" customHeight="false" outlineLevel="0" collapsed="false">
      <c r="A179" s="9"/>
      <c r="B179" s="10"/>
      <c r="C179" s="11" t="str">
        <f aca="false">IF(B179="","",CHOOSE(WEEKDAY(B179),"Sun","Mon","Tue","Wed","Thu","Fri","Sat"))</f>
        <v/>
      </c>
      <c r="D179" s="12"/>
      <c r="E179" s="12"/>
      <c r="F179" s="13" t="str">
        <f aca="false">IF(OR(D179="",E179=""),"",IF(E179&gt;D179,(E179-D179)*24,""))</f>
        <v/>
      </c>
      <c r="G179" s="9"/>
      <c r="H179" s="11" t="str">
        <f aca="false">IF(OR(A179="",B179="",D179="",E179=""),"",IF(E179&lt;=D179,"End before start",IF(COUNTIFS($B$9:$B$208,B179,$D$9:$D$208,"&lt;"&amp;(E179-1/1440),$E$9:$E$208,"&gt;"&amp;(D179+1/1440))&gt;1,"CONFLICT","OK")))</f>
        <v/>
      </c>
    </row>
    <row r="180" customFormat="false" ht="15" hidden="false" customHeight="false" outlineLevel="0" collapsed="false">
      <c r="A180" s="9"/>
      <c r="B180" s="10"/>
      <c r="C180" s="11" t="str">
        <f aca="false">IF(B180="","",CHOOSE(WEEKDAY(B180),"Sun","Mon","Tue","Wed","Thu","Fri","Sat"))</f>
        <v/>
      </c>
      <c r="D180" s="12"/>
      <c r="E180" s="12"/>
      <c r="F180" s="13" t="str">
        <f aca="false">IF(OR(D180="",E180=""),"",IF(E180&gt;D180,(E180-D180)*24,""))</f>
        <v/>
      </c>
      <c r="G180" s="9"/>
      <c r="H180" s="11" t="str">
        <f aca="false">IF(OR(A180="",B180="",D180="",E180=""),"",IF(E180&lt;=D180,"End before start",IF(COUNTIFS($B$9:$B$208,B180,$D$9:$D$208,"&lt;"&amp;(E180-1/1440),$E$9:$E$208,"&gt;"&amp;(D180+1/1440))&gt;1,"CONFLICT","OK")))</f>
        <v/>
      </c>
    </row>
    <row r="181" customFormat="false" ht="15" hidden="false" customHeight="false" outlineLevel="0" collapsed="false">
      <c r="A181" s="9"/>
      <c r="B181" s="10"/>
      <c r="C181" s="11" t="str">
        <f aca="false">IF(B181="","",CHOOSE(WEEKDAY(B181),"Sun","Mon","Tue","Wed","Thu","Fri","Sat"))</f>
        <v/>
      </c>
      <c r="D181" s="12"/>
      <c r="E181" s="12"/>
      <c r="F181" s="13" t="str">
        <f aca="false">IF(OR(D181="",E181=""),"",IF(E181&gt;D181,(E181-D181)*24,""))</f>
        <v/>
      </c>
      <c r="G181" s="9"/>
      <c r="H181" s="11" t="str">
        <f aca="false">IF(OR(A181="",B181="",D181="",E181=""),"",IF(E181&lt;=D181,"End before start",IF(COUNTIFS($B$9:$B$208,B181,$D$9:$D$208,"&lt;"&amp;(E181-1/1440),$E$9:$E$208,"&gt;"&amp;(D181+1/1440))&gt;1,"CONFLICT","OK")))</f>
        <v/>
      </c>
    </row>
    <row r="182" customFormat="false" ht="15" hidden="false" customHeight="false" outlineLevel="0" collapsed="false">
      <c r="A182" s="9"/>
      <c r="B182" s="10"/>
      <c r="C182" s="11" t="str">
        <f aca="false">IF(B182="","",CHOOSE(WEEKDAY(B182),"Sun","Mon","Tue","Wed","Thu","Fri","Sat"))</f>
        <v/>
      </c>
      <c r="D182" s="12"/>
      <c r="E182" s="12"/>
      <c r="F182" s="13" t="str">
        <f aca="false">IF(OR(D182="",E182=""),"",IF(E182&gt;D182,(E182-D182)*24,""))</f>
        <v/>
      </c>
      <c r="G182" s="9"/>
      <c r="H182" s="11" t="str">
        <f aca="false">IF(OR(A182="",B182="",D182="",E182=""),"",IF(E182&lt;=D182,"End before start",IF(COUNTIFS($B$9:$B$208,B182,$D$9:$D$208,"&lt;"&amp;(E182-1/1440),$E$9:$E$208,"&gt;"&amp;(D182+1/1440))&gt;1,"CONFLICT","OK")))</f>
        <v/>
      </c>
    </row>
    <row r="183" customFormat="false" ht="15" hidden="false" customHeight="false" outlineLevel="0" collapsed="false">
      <c r="A183" s="9"/>
      <c r="B183" s="10"/>
      <c r="C183" s="11" t="str">
        <f aca="false">IF(B183="","",CHOOSE(WEEKDAY(B183),"Sun","Mon","Tue","Wed","Thu","Fri","Sat"))</f>
        <v/>
      </c>
      <c r="D183" s="12"/>
      <c r="E183" s="12"/>
      <c r="F183" s="13" t="str">
        <f aca="false">IF(OR(D183="",E183=""),"",IF(E183&gt;D183,(E183-D183)*24,""))</f>
        <v/>
      </c>
      <c r="G183" s="9"/>
      <c r="H183" s="11" t="str">
        <f aca="false">IF(OR(A183="",B183="",D183="",E183=""),"",IF(E183&lt;=D183,"End before start",IF(COUNTIFS($B$9:$B$208,B183,$D$9:$D$208,"&lt;"&amp;(E183-1/1440),$E$9:$E$208,"&gt;"&amp;(D183+1/1440))&gt;1,"CONFLICT","OK")))</f>
        <v/>
      </c>
    </row>
    <row r="184" customFormat="false" ht="15" hidden="false" customHeight="false" outlineLevel="0" collapsed="false">
      <c r="A184" s="9"/>
      <c r="B184" s="10"/>
      <c r="C184" s="11" t="str">
        <f aca="false">IF(B184="","",CHOOSE(WEEKDAY(B184),"Sun","Mon","Tue","Wed","Thu","Fri","Sat"))</f>
        <v/>
      </c>
      <c r="D184" s="12"/>
      <c r="E184" s="12"/>
      <c r="F184" s="13" t="str">
        <f aca="false">IF(OR(D184="",E184=""),"",IF(E184&gt;D184,(E184-D184)*24,""))</f>
        <v/>
      </c>
      <c r="G184" s="9"/>
      <c r="H184" s="11" t="str">
        <f aca="false">IF(OR(A184="",B184="",D184="",E184=""),"",IF(E184&lt;=D184,"End before start",IF(COUNTIFS($B$9:$B$208,B184,$D$9:$D$208,"&lt;"&amp;(E184-1/1440),$E$9:$E$208,"&gt;"&amp;(D184+1/1440))&gt;1,"CONFLICT","OK")))</f>
        <v/>
      </c>
    </row>
    <row r="185" customFormat="false" ht="15" hidden="false" customHeight="false" outlineLevel="0" collapsed="false">
      <c r="A185" s="9"/>
      <c r="B185" s="10"/>
      <c r="C185" s="11" t="str">
        <f aca="false">IF(B185="","",CHOOSE(WEEKDAY(B185),"Sun","Mon","Tue","Wed","Thu","Fri","Sat"))</f>
        <v/>
      </c>
      <c r="D185" s="12"/>
      <c r="E185" s="12"/>
      <c r="F185" s="13" t="str">
        <f aca="false">IF(OR(D185="",E185=""),"",IF(E185&gt;D185,(E185-D185)*24,""))</f>
        <v/>
      </c>
      <c r="G185" s="9"/>
      <c r="H185" s="11" t="str">
        <f aca="false">IF(OR(A185="",B185="",D185="",E185=""),"",IF(E185&lt;=D185,"End before start",IF(COUNTIFS($B$9:$B$208,B185,$D$9:$D$208,"&lt;"&amp;(E185-1/1440),$E$9:$E$208,"&gt;"&amp;(D185+1/1440))&gt;1,"CONFLICT","OK")))</f>
        <v/>
      </c>
    </row>
    <row r="186" customFormat="false" ht="15" hidden="false" customHeight="false" outlineLevel="0" collapsed="false">
      <c r="A186" s="9"/>
      <c r="B186" s="10"/>
      <c r="C186" s="11" t="str">
        <f aca="false">IF(B186="","",CHOOSE(WEEKDAY(B186),"Sun","Mon","Tue","Wed","Thu","Fri","Sat"))</f>
        <v/>
      </c>
      <c r="D186" s="12"/>
      <c r="E186" s="12"/>
      <c r="F186" s="13" t="str">
        <f aca="false">IF(OR(D186="",E186=""),"",IF(E186&gt;D186,(E186-D186)*24,""))</f>
        <v/>
      </c>
      <c r="G186" s="9"/>
      <c r="H186" s="11" t="str">
        <f aca="false">IF(OR(A186="",B186="",D186="",E186=""),"",IF(E186&lt;=D186,"End before start",IF(COUNTIFS($B$9:$B$208,B186,$D$9:$D$208,"&lt;"&amp;(E186-1/1440),$E$9:$E$208,"&gt;"&amp;(D186+1/1440))&gt;1,"CONFLICT","OK")))</f>
        <v/>
      </c>
    </row>
    <row r="187" customFormat="false" ht="15" hidden="false" customHeight="false" outlineLevel="0" collapsed="false">
      <c r="A187" s="9"/>
      <c r="B187" s="10"/>
      <c r="C187" s="11" t="str">
        <f aca="false">IF(B187="","",CHOOSE(WEEKDAY(B187),"Sun","Mon","Tue","Wed","Thu","Fri","Sat"))</f>
        <v/>
      </c>
      <c r="D187" s="12"/>
      <c r="E187" s="12"/>
      <c r="F187" s="13" t="str">
        <f aca="false">IF(OR(D187="",E187=""),"",IF(E187&gt;D187,(E187-D187)*24,""))</f>
        <v/>
      </c>
      <c r="G187" s="9"/>
      <c r="H187" s="11" t="str">
        <f aca="false">IF(OR(A187="",B187="",D187="",E187=""),"",IF(E187&lt;=D187,"End before start",IF(COUNTIFS($B$9:$B$208,B187,$D$9:$D$208,"&lt;"&amp;(E187-1/1440),$E$9:$E$208,"&gt;"&amp;(D187+1/1440))&gt;1,"CONFLICT","OK")))</f>
        <v/>
      </c>
    </row>
    <row r="188" customFormat="false" ht="15" hidden="false" customHeight="false" outlineLevel="0" collapsed="false">
      <c r="A188" s="9"/>
      <c r="B188" s="10"/>
      <c r="C188" s="11" t="str">
        <f aca="false">IF(B188="","",CHOOSE(WEEKDAY(B188),"Sun","Mon","Tue","Wed","Thu","Fri","Sat"))</f>
        <v/>
      </c>
      <c r="D188" s="12"/>
      <c r="E188" s="12"/>
      <c r="F188" s="13" t="str">
        <f aca="false">IF(OR(D188="",E188=""),"",IF(E188&gt;D188,(E188-D188)*24,""))</f>
        <v/>
      </c>
      <c r="G188" s="9"/>
      <c r="H188" s="11" t="str">
        <f aca="false">IF(OR(A188="",B188="",D188="",E188=""),"",IF(E188&lt;=D188,"End before start",IF(COUNTIFS($B$9:$B$208,B188,$D$9:$D$208,"&lt;"&amp;(E188-1/1440),$E$9:$E$208,"&gt;"&amp;(D188+1/1440))&gt;1,"CONFLICT","OK")))</f>
        <v/>
      </c>
    </row>
    <row r="189" customFormat="false" ht="15" hidden="false" customHeight="false" outlineLevel="0" collapsed="false">
      <c r="A189" s="9"/>
      <c r="B189" s="10"/>
      <c r="C189" s="11" t="str">
        <f aca="false">IF(B189="","",CHOOSE(WEEKDAY(B189),"Sun","Mon","Tue","Wed","Thu","Fri","Sat"))</f>
        <v/>
      </c>
      <c r="D189" s="12"/>
      <c r="E189" s="12"/>
      <c r="F189" s="13" t="str">
        <f aca="false">IF(OR(D189="",E189=""),"",IF(E189&gt;D189,(E189-D189)*24,""))</f>
        <v/>
      </c>
      <c r="G189" s="9"/>
      <c r="H189" s="11" t="str">
        <f aca="false">IF(OR(A189="",B189="",D189="",E189=""),"",IF(E189&lt;=D189,"End before start",IF(COUNTIFS($B$9:$B$208,B189,$D$9:$D$208,"&lt;"&amp;(E189-1/1440),$E$9:$E$208,"&gt;"&amp;(D189+1/1440))&gt;1,"CONFLICT","OK")))</f>
        <v/>
      </c>
    </row>
    <row r="190" customFormat="false" ht="15" hidden="false" customHeight="false" outlineLevel="0" collapsed="false">
      <c r="A190" s="9"/>
      <c r="B190" s="10"/>
      <c r="C190" s="11" t="str">
        <f aca="false">IF(B190="","",CHOOSE(WEEKDAY(B190),"Sun","Mon","Tue","Wed","Thu","Fri","Sat"))</f>
        <v/>
      </c>
      <c r="D190" s="12"/>
      <c r="E190" s="12"/>
      <c r="F190" s="13" t="str">
        <f aca="false">IF(OR(D190="",E190=""),"",IF(E190&gt;D190,(E190-D190)*24,""))</f>
        <v/>
      </c>
      <c r="G190" s="9"/>
      <c r="H190" s="11" t="str">
        <f aca="false">IF(OR(A190="",B190="",D190="",E190=""),"",IF(E190&lt;=D190,"End before start",IF(COUNTIFS($B$9:$B$208,B190,$D$9:$D$208,"&lt;"&amp;(E190-1/1440),$E$9:$E$208,"&gt;"&amp;(D190+1/1440))&gt;1,"CONFLICT","OK")))</f>
        <v/>
      </c>
    </row>
    <row r="191" customFormat="false" ht="15" hidden="false" customHeight="false" outlineLevel="0" collapsed="false">
      <c r="A191" s="9"/>
      <c r="B191" s="10"/>
      <c r="C191" s="11" t="str">
        <f aca="false">IF(B191="","",CHOOSE(WEEKDAY(B191),"Sun","Mon","Tue","Wed","Thu","Fri","Sat"))</f>
        <v/>
      </c>
      <c r="D191" s="12"/>
      <c r="E191" s="12"/>
      <c r="F191" s="13" t="str">
        <f aca="false">IF(OR(D191="",E191=""),"",IF(E191&gt;D191,(E191-D191)*24,""))</f>
        <v/>
      </c>
      <c r="G191" s="9"/>
      <c r="H191" s="11" t="str">
        <f aca="false">IF(OR(A191="",B191="",D191="",E191=""),"",IF(E191&lt;=D191,"End before start",IF(COUNTIFS($B$9:$B$208,B191,$D$9:$D$208,"&lt;"&amp;(E191-1/1440),$E$9:$E$208,"&gt;"&amp;(D191+1/1440))&gt;1,"CONFLICT","OK")))</f>
        <v/>
      </c>
    </row>
    <row r="192" customFormat="false" ht="15" hidden="false" customHeight="false" outlineLevel="0" collapsed="false">
      <c r="A192" s="9"/>
      <c r="B192" s="10"/>
      <c r="C192" s="11" t="str">
        <f aca="false">IF(B192="","",CHOOSE(WEEKDAY(B192),"Sun","Mon","Tue","Wed","Thu","Fri","Sat"))</f>
        <v/>
      </c>
      <c r="D192" s="12"/>
      <c r="E192" s="12"/>
      <c r="F192" s="13" t="str">
        <f aca="false">IF(OR(D192="",E192=""),"",IF(E192&gt;D192,(E192-D192)*24,""))</f>
        <v/>
      </c>
      <c r="G192" s="9"/>
      <c r="H192" s="11" t="str">
        <f aca="false">IF(OR(A192="",B192="",D192="",E192=""),"",IF(E192&lt;=D192,"End before start",IF(COUNTIFS($B$9:$B$208,B192,$D$9:$D$208,"&lt;"&amp;(E192-1/1440),$E$9:$E$208,"&gt;"&amp;(D192+1/1440))&gt;1,"CONFLICT","OK")))</f>
        <v/>
      </c>
    </row>
    <row r="193" customFormat="false" ht="15" hidden="false" customHeight="false" outlineLevel="0" collapsed="false">
      <c r="A193" s="9"/>
      <c r="B193" s="10"/>
      <c r="C193" s="11" t="str">
        <f aca="false">IF(B193="","",CHOOSE(WEEKDAY(B193),"Sun","Mon","Tue","Wed","Thu","Fri","Sat"))</f>
        <v/>
      </c>
      <c r="D193" s="12"/>
      <c r="E193" s="12"/>
      <c r="F193" s="13" t="str">
        <f aca="false">IF(OR(D193="",E193=""),"",IF(E193&gt;D193,(E193-D193)*24,""))</f>
        <v/>
      </c>
      <c r="G193" s="9"/>
      <c r="H193" s="11" t="str">
        <f aca="false">IF(OR(A193="",B193="",D193="",E193=""),"",IF(E193&lt;=D193,"End before start",IF(COUNTIFS($B$9:$B$208,B193,$D$9:$D$208,"&lt;"&amp;(E193-1/1440),$E$9:$E$208,"&gt;"&amp;(D193+1/1440))&gt;1,"CONFLICT","OK")))</f>
        <v/>
      </c>
    </row>
    <row r="194" customFormat="false" ht="15" hidden="false" customHeight="false" outlineLevel="0" collapsed="false">
      <c r="A194" s="9"/>
      <c r="B194" s="10"/>
      <c r="C194" s="11" t="str">
        <f aca="false">IF(B194="","",CHOOSE(WEEKDAY(B194),"Sun","Mon","Tue","Wed","Thu","Fri","Sat"))</f>
        <v/>
      </c>
      <c r="D194" s="12"/>
      <c r="E194" s="12"/>
      <c r="F194" s="13" t="str">
        <f aca="false">IF(OR(D194="",E194=""),"",IF(E194&gt;D194,(E194-D194)*24,""))</f>
        <v/>
      </c>
      <c r="G194" s="9"/>
      <c r="H194" s="11" t="str">
        <f aca="false">IF(OR(A194="",B194="",D194="",E194=""),"",IF(E194&lt;=D194,"End before start",IF(COUNTIFS($B$9:$B$208,B194,$D$9:$D$208,"&lt;"&amp;(E194-1/1440),$E$9:$E$208,"&gt;"&amp;(D194+1/1440))&gt;1,"CONFLICT","OK")))</f>
        <v/>
      </c>
    </row>
    <row r="195" customFormat="false" ht="15" hidden="false" customHeight="false" outlineLevel="0" collapsed="false">
      <c r="A195" s="9"/>
      <c r="B195" s="10"/>
      <c r="C195" s="11" t="str">
        <f aca="false">IF(B195="","",CHOOSE(WEEKDAY(B195),"Sun","Mon","Tue","Wed","Thu","Fri","Sat"))</f>
        <v/>
      </c>
      <c r="D195" s="12"/>
      <c r="E195" s="12"/>
      <c r="F195" s="13" t="str">
        <f aca="false">IF(OR(D195="",E195=""),"",IF(E195&gt;D195,(E195-D195)*24,""))</f>
        <v/>
      </c>
      <c r="G195" s="9"/>
      <c r="H195" s="11" t="str">
        <f aca="false">IF(OR(A195="",B195="",D195="",E195=""),"",IF(E195&lt;=D195,"End before start",IF(COUNTIFS($B$9:$B$208,B195,$D$9:$D$208,"&lt;"&amp;(E195-1/1440),$E$9:$E$208,"&gt;"&amp;(D195+1/1440))&gt;1,"CONFLICT","OK")))</f>
        <v/>
      </c>
    </row>
    <row r="196" customFormat="false" ht="15" hidden="false" customHeight="false" outlineLevel="0" collapsed="false">
      <c r="A196" s="9"/>
      <c r="B196" s="10"/>
      <c r="C196" s="11" t="str">
        <f aca="false">IF(B196="","",CHOOSE(WEEKDAY(B196),"Sun","Mon","Tue","Wed","Thu","Fri","Sat"))</f>
        <v/>
      </c>
      <c r="D196" s="12"/>
      <c r="E196" s="12"/>
      <c r="F196" s="13" t="str">
        <f aca="false">IF(OR(D196="",E196=""),"",IF(E196&gt;D196,(E196-D196)*24,""))</f>
        <v/>
      </c>
      <c r="G196" s="9"/>
      <c r="H196" s="11" t="str">
        <f aca="false">IF(OR(A196="",B196="",D196="",E196=""),"",IF(E196&lt;=D196,"End before start",IF(COUNTIFS($B$9:$B$208,B196,$D$9:$D$208,"&lt;"&amp;(E196-1/1440),$E$9:$E$208,"&gt;"&amp;(D196+1/1440))&gt;1,"CONFLICT","OK")))</f>
        <v/>
      </c>
    </row>
    <row r="197" customFormat="false" ht="15" hidden="false" customHeight="false" outlineLevel="0" collapsed="false">
      <c r="A197" s="9"/>
      <c r="B197" s="10"/>
      <c r="C197" s="11" t="str">
        <f aca="false">IF(B197="","",CHOOSE(WEEKDAY(B197),"Sun","Mon","Tue","Wed","Thu","Fri","Sat"))</f>
        <v/>
      </c>
      <c r="D197" s="12"/>
      <c r="E197" s="12"/>
      <c r="F197" s="13" t="str">
        <f aca="false">IF(OR(D197="",E197=""),"",IF(E197&gt;D197,(E197-D197)*24,""))</f>
        <v/>
      </c>
      <c r="G197" s="9"/>
      <c r="H197" s="11" t="str">
        <f aca="false">IF(OR(A197="",B197="",D197="",E197=""),"",IF(E197&lt;=D197,"End before start",IF(COUNTIFS($B$9:$B$208,B197,$D$9:$D$208,"&lt;"&amp;(E197-1/1440),$E$9:$E$208,"&gt;"&amp;(D197+1/1440))&gt;1,"CONFLICT","OK")))</f>
        <v/>
      </c>
    </row>
    <row r="198" customFormat="false" ht="15" hidden="false" customHeight="false" outlineLevel="0" collapsed="false">
      <c r="A198" s="9"/>
      <c r="B198" s="10"/>
      <c r="C198" s="11" t="str">
        <f aca="false">IF(B198="","",CHOOSE(WEEKDAY(B198),"Sun","Mon","Tue","Wed","Thu","Fri","Sat"))</f>
        <v/>
      </c>
      <c r="D198" s="12"/>
      <c r="E198" s="12"/>
      <c r="F198" s="13" t="str">
        <f aca="false">IF(OR(D198="",E198=""),"",IF(E198&gt;D198,(E198-D198)*24,""))</f>
        <v/>
      </c>
      <c r="G198" s="9"/>
      <c r="H198" s="11" t="str">
        <f aca="false">IF(OR(A198="",B198="",D198="",E198=""),"",IF(E198&lt;=D198,"End before start",IF(COUNTIFS($B$9:$B$208,B198,$D$9:$D$208,"&lt;"&amp;(E198-1/1440),$E$9:$E$208,"&gt;"&amp;(D198+1/1440))&gt;1,"CONFLICT","OK")))</f>
        <v/>
      </c>
    </row>
    <row r="199" customFormat="false" ht="15" hidden="false" customHeight="false" outlineLevel="0" collapsed="false">
      <c r="A199" s="9"/>
      <c r="B199" s="10"/>
      <c r="C199" s="11" t="str">
        <f aca="false">IF(B199="","",CHOOSE(WEEKDAY(B199),"Sun","Mon","Tue","Wed","Thu","Fri","Sat"))</f>
        <v/>
      </c>
      <c r="D199" s="12"/>
      <c r="E199" s="12"/>
      <c r="F199" s="13" t="str">
        <f aca="false">IF(OR(D199="",E199=""),"",IF(E199&gt;D199,(E199-D199)*24,""))</f>
        <v/>
      </c>
      <c r="G199" s="9"/>
      <c r="H199" s="11" t="str">
        <f aca="false">IF(OR(A199="",B199="",D199="",E199=""),"",IF(E199&lt;=D199,"End before start",IF(COUNTIFS($B$9:$B$208,B199,$D$9:$D$208,"&lt;"&amp;(E199-1/1440),$E$9:$E$208,"&gt;"&amp;(D199+1/1440))&gt;1,"CONFLICT","OK")))</f>
        <v/>
      </c>
    </row>
    <row r="200" customFormat="false" ht="15" hidden="false" customHeight="false" outlineLevel="0" collapsed="false">
      <c r="A200" s="9"/>
      <c r="B200" s="10"/>
      <c r="C200" s="11" t="str">
        <f aca="false">IF(B200="","",CHOOSE(WEEKDAY(B200),"Sun","Mon","Tue","Wed","Thu","Fri","Sat"))</f>
        <v/>
      </c>
      <c r="D200" s="12"/>
      <c r="E200" s="12"/>
      <c r="F200" s="13" t="str">
        <f aca="false">IF(OR(D200="",E200=""),"",IF(E200&gt;D200,(E200-D200)*24,""))</f>
        <v/>
      </c>
      <c r="G200" s="9"/>
      <c r="H200" s="11" t="str">
        <f aca="false">IF(OR(A200="",B200="",D200="",E200=""),"",IF(E200&lt;=D200,"End before start",IF(COUNTIFS($B$9:$B$208,B200,$D$9:$D$208,"&lt;"&amp;(E200-1/1440),$E$9:$E$208,"&gt;"&amp;(D200+1/1440))&gt;1,"CONFLICT","OK")))</f>
        <v/>
      </c>
    </row>
    <row r="201" customFormat="false" ht="15" hidden="false" customHeight="false" outlineLevel="0" collapsed="false">
      <c r="A201" s="9"/>
      <c r="B201" s="10"/>
      <c r="C201" s="11" t="str">
        <f aca="false">IF(B201="","",CHOOSE(WEEKDAY(B201),"Sun","Mon","Tue","Wed","Thu","Fri","Sat"))</f>
        <v/>
      </c>
      <c r="D201" s="12"/>
      <c r="E201" s="12"/>
      <c r="F201" s="13" t="str">
        <f aca="false">IF(OR(D201="",E201=""),"",IF(E201&gt;D201,(E201-D201)*24,""))</f>
        <v/>
      </c>
      <c r="G201" s="9"/>
      <c r="H201" s="11" t="str">
        <f aca="false">IF(OR(A201="",B201="",D201="",E201=""),"",IF(E201&lt;=D201,"End before start",IF(COUNTIFS($B$9:$B$208,B201,$D$9:$D$208,"&lt;"&amp;(E201-1/1440),$E$9:$E$208,"&gt;"&amp;(D201+1/1440))&gt;1,"CONFLICT","OK")))</f>
        <v/>
      </c>
    </row>
    <row r="202" customFormat="false" ht="15" hidden="false" customHeight="false" outlineLevel="0" collapsed="false">
      <c r="A202" s="9"/>
      <c r="B202" s="10"/>
      <c r="C202" s="11" t="str">
        <f aca="false">IF(B202="","",CHOOSE(WEEKDAY(B202),"Sun","Mon","Tue","Wed","Thu","Fri","Sat"))</f>
        <v/>
      </c>
      <c r="D202" s="12"/>
      <c r="E202" s="12"/>
      <c r="F202" s="13" t="str">
        <f aca="false">IF(OR(D202="",E202=""),"",IF(E202&gt;D202,(E202-D202)*24,""))</f>
        <v/>
      </c>
      <c r="G202" s="9"/>
      <c r="H202" s="11" t="str">
        <f aca="false">IF(OR(A202="",B202="",D202="",E202=""),"",IF(E202&lt;=D202,"End before start",IF(COUNTIFS($B$9:$B$208,B202,$D$9:$D$208,"&lt;"&amp;(E202-1/1440),$E$9:$E$208,"&gt;"&amp;(D202+1/1440))&gt;1,"CONFLICT","OK")))</f>
        <v/>
      </c>
    </row>
    <row r="203" customFormat="false" ht="15" hidden="false" customHeight="false" outlineLevel="0" collapsed="false">
      <c r="A203" s="9"/>
      <c r="B203" s="10"/>
      <c r="C203" s="11" t="str">
        <f aca="false">IF(B203="","",CHOOSE(WEEKDAY(B203),"Sun","Mon","Tue","Wed","Thu","Fri","Sat"))</f>
        <v/>
      </c>
      <c r="D203" s="12"/>
      <c r="E203" s="12"/>
      <c r="F203" s="13" t="str">
        <f aca="false">IF(OR(D203="",E203=""),"",IF(E203&gt;D203,(E203-D203)*24,""))</f>
        <v/>
      </c>
      <c r="G203" s="9"/>
      <c r="H203" s="11" t="str">
        <f aca="false">IF(OR(A203="",B203="",D203="",E203=""),"",IF(E203&lt;=D203,"End before start",IF(COUNTIFS($B$9:$B$208,B203,$D$9:$D$208,"&lt;"&amp;(E203-1/1440),$E$9:$E$208,"&gt;"&amp;(D203+1/1440))&gt;1,"CONFLICT","OK")))</f>
        <v/>
      </c>
    </row>
    <row r="204" customFormat="false" ht="15" hidden="false" customHeight="false" outlineLevel="0" collapsed="false">
      <c r="A204" s="9"/>
      <c r="B204" s="10"/>
      <c r="C204" s="11" t="str">
        <f aca="false">IF(B204="","",CHOOSE(WEEKDAY(B204),"Sun","Mon","Tue","Wed","Thu","Fri","Sat"))</f>
        <v/>
      </c>
      <c r="D204" s="12"/>
      <c r="E204" s="12"/>
      <c r="F204" s="13" t="str">
        <f aca="false">IF(OR(D204="",E204=""),"",IF(E204&gt;D204,(E204-D204)*24,""))</f>
        <v/>
      </c>
      <c r="G204" s="9"/>
      <c r="H204" s="11" t="str">
        <f aca="false">IF(OR(A204="",B204="",D204="",E204=""),"",IF(E204&lt;=D204,"End before start",IF(COUNTIFS($B$9:$B$208,B204,$D$9:$D$208,"&lt;"&amp;(E204-1/1440),$E$9:$E$208,"&gt;"&amp;(D204+1/1440))&gt;1,"CONFLICT","OK")))</f>
        <v/>
      </c>
    </row>
    <row r="205" customFormat="false" ht="15" hidden="false" customHeight="false" outlineLevel="0" collapsed="false">
      <c r="A205" s="9"/>
      <c r="B205" s="10"/>
      <c r="C205" s="11" t="str">
        <f aca="false">IF(B205="","",CHOOSE(WEEKDAY(B205),"Sun","Mon","Tue","Wed","Thu","Fri","Sat"))</f>
        <v/>
      </c>
      <c r="D205" s="12"/>
      <c r="E205" s="12"/>
      <c r="F205" s="13" t="str">
        <f aca="false">IF(OR(D205="",E205=""),"",IF(E205&gt;D205,(E205-D205)*24,""))</f>
        <v/>
      </c>
      <c r="G205" s="9"/>
      <c r="H205" s="11" t="str">
        <f aca="false">IF(OR(A205="",B205="",D205="",E205=""),"",IF(E205&lt;=D205,"End before start",IF(COUNTIFS($B$9:$B$208,B205,$D$9:$D$208,"&lt;"&amp;(E205-1/1440),$E$9:$E$208,"&gt;"&amp;(D205+1/1440))&gt;1,"CONFLICT","OK")))</f>
        <v/>
      </c>
    </row>
    <row r="206" customFormat="false" ht="15" hidden="false" customHeight="false" outlineLevel="0" collapsed="false">
      <c r="A206" s="9"/>
      <c r="B206" s="10"/>
      <c r="C206" s="11" t="str">
        <f aca="false">IF(B206="","",CHOOSE(WEEKDAY(B206),"Sun","Mon","Tue","Wed","Thu","Fri","Sat"))</f>
        <v/>
      </c>
      <c r="D206" s="12"/>
      <c r="E206" s="12"/>
      <c r="F206" s="13" t="str">
        <f aca="false">IF(OR(D206="",E206=""),"",IF(E206&gt;D206,(E206-D206)*24,""))</f>
        <v/>
      </c>
      <c r="G206" s="9"/>
      <c r="H206" s="11" t="str">
        <f aca="false">IF(OR(A206="",B206="",D206="",E206=""),"",IF(E206&lt;=D206,"End before start",IF(COUNTIFS($B$9:$B$208,B206,$D$9:$D$208,"&lt;"&amp;(E206-1/1440),$E$9:$E$208,"&gt;"&amp;(D206+1/1440))&gt;1,"CONFLICT","OK")))</f>
        <v/>
      </c>
    </row>
    <row r="207" customFormat="false" ht="15" hidden="false" customHeight="false" outlineLevel="0" collapsed="false">
      <c r="A207" s="9"/>
      <c r="B207" s="10"/>
      <c r="C207" s="11" t="str">
        <f aca="false">IF(B207="","",CHOOSE(WEEKDAY(B207),"Sun","Mon","Tue","Wed","Thu","Fri","Sat"))</f>
        <v/>
      </c>
      <c r="D207" s="12"/>
      <c r="E207" s="12"/>
      <c r="F207" s="13" t="str">
        <f aca="false">IF(OR(D207="",E207=""),"",IF(E207&gt;D207,(E207-D207)*24,""))</f>
        <v/>
      </c>
      <c r="G207" s="9"/>
      <c r="H207" s="11" t="str">
        <f aca="false">IF(OR(A207="",B207="",D207="",E207=""),"",IF(E207&lt;=D207,"End before start",IF(COUNTIFS($B$9:$B$208,B207,$D$9:$D$208,"&lt;"&amp;(E207-1/1440),$E$9:$E$208,"&gt;"&amp;(D207+1/1440))&gt;1,"CONFLICT","OK")))</f>
        <v/>
      </c>
    </row>
    <row r="208" customFormat="false" ht="15" hidden="false" customHeight="false" outlineLevel="0" collapsed="false">
      <c r="A208" s="9"/>
      <c r="B208" s="10"/>
      <c r="C208" s="11" t="str">
        <f aca="false">IF(B208="","",CHOOSE(WEEKDAY(B208),"Sun","Mon","Tue","Wed","Thu","Fri","Sat"))</f>
        <v/>
      </c>
      <c r="D208" s="12"/>
      <c r="E208" s="12"/>
      <c r="F208" s="13" t="str">
        <f aca="false">IF(OR(D208="",E208=""),"",IF(E208&gt;D208,(E208-D208)*24,""))</f>
        <v/>
      </c>
      <c r="G208" s="9"/>
      <c r="H208" s="11" t="str">
        <f aca="false">IF(OR(A208="",B208="",D208="",E208=""),"",IF(E208&lt;=D208,"End before start",IF(COUNTIFS($B$9:$B$208,B208,$D$9:$D$208,"&lt;"&amp;(E208-1/1440),$E$9:$E$208,"&gt;"&amp;(D208+1/1440))&gt;1,"CONFLICT","OK")))</f>
        <v/>
      </c>
    </row>
  </sheetData>
  <conditionalFormatting sqref="L10:R26">
    <cfRule type="expression" priority="2" aboveAverage="0" equalAverage="0" bottom="0" percent="0" rank="0" text="" dxfId="0">
      <formula>L10="Mario Ortiz"</formula>
    </cfRule>
    <cfRule type="expression" priority="3" aboveAverage="0" equalAverage="0" bottom="0" percent="0" rank="0" text="" dxfId="1">
      <formula>L10="Shaoqin Li"</formula>
    </cfRule>
    <cfRule type="expression" priority="4" aboveAverage="0" equalAverage="0" bottom="0" percent="0" rank="0" text="" dxfId="2">
      <formula>L10="Cesar Pascal Vasquez"</formula>
    </cfRule>
    <cfRule type="expression" priority="5" aboveAverage="0" equalAverage="0" bottom="0" percent="0" rank="0" text="" dxfId="3">
      <formula>L10="Chu Lin"</formula>
    </cfRule>
    <cfRule type="expression" priority="6" aboveAverage="0" equalAverage="0" bottom="0" percent="0" rank="0" text="" dxfId="4">
      <formula>L10="CONFLICT"</formula>
    </cfRule>
  </conditionalFormatting>
  <conditionalFormatting sqref="H9:H208">
    <cfRule type="expression" priority="7" aboveAverage="0" equalAverage="0" bottom="0" percent="0" rank="0" text="" dxfId="4">
      <formula>H9="CONFLICT"</formula>
    </cfRule>
    <cfRule type="expression" priority="8" aboveAverage="0" equalAverage="0" bottom="0" percent="0" rank="0" text="" dxfId="5">
      <formula>H9="End before start"</formula>
    </cfRule>
    <cfRule type="expression" priority="9" aboveAverage="0" equalAverage="0" bottom="0" percent="0" rank="0" text="" dxfId="1">
      <formula>H9="OK"</formula>
    </cfRule>
  </conditionalFormatting>
  <conditionalFormatting sqref="A9:G208">
    <cfRule type="expression" priority="10" aboveAverage="0" equalAverage="0" bottom="0" percent="0" rank="0" text="" dxfId="6">
      <formula>AND($B9&lt;&gt;"",$B9&lt;TODAY())</formula>
    </cfRule>
  </conditionalFormatting>
  <dataValidations count="3">
    <dataValidation allowBlank="true" error="Choose your name from the list." errorStyle="stop" errorTitle="Pick a member" operator="between" showDropDown="false" showErrorMessage="true" showInputMessage="false" sqref="A9:A208" type="list">
      <formula1>$K$30:$K$33</formula1>
      <formula2>0</formula2>
    </dataValidation>
    <dataValidation allowBlank="true" error="Enter a date, e.g. 10/21/2026." errorStyle="stop" operator="greaterThan" showDropDown="false" showErrorMessage="true" showInputMessage="false" sqref="B9:B208" type="date">
      <formula1>DATE(2026,1,1)</formula1>
      <formula2>0</formula2>
    </dataValidation>
    <dataValidation allowBlank="true" error="Enter a time, e.g. 3:00 PM." errorStyle="stop" operator="between" showDropDown="false" showErrorMessage="true" showInputMessage="false" sqref="D9:E208" type="time">
      <formula1>0</formula1>
      <formula2>0.999988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2026-10-18T23:50:35Z</dcterms:created>
  <dc:creator>openpyxl</dc:creator>
  <dc:description/>
  <dc:language>en-US</dc:language>
  <cp:lastModifiedBy/>
  <dcterms:modified xsi:type="dcterms:W3CDTF">2026-10-18T23:50:35Z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